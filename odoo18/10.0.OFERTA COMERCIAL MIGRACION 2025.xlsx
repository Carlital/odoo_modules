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A MIGRACION" sheetId="1" r:id="rId4"/>
    <sheet state="visible" name="PLAN ONIX - MIGRACIONES" sheetId="2" r:id="rId5"/>
    <sheet state="visible" name="GUIA UPSELL" sheetId="3" r:id="rId6"/>
    <sheet state="visible" name="PREGUNTAS FRECUENTES" sheetId="4" r:id="rId7"/>
  </sheets>
  <definedNames/>
  <calcPr/>
</workbook>
</file>

<file path=xl/sharedStrings.xml><?xml version="1.0" encoding="utf-8"?>
<sst xmlns="http://schemas.openxmlformats.org/spreadsheetml/2006/main" count="290" uniqueCount="102">
  <si>
    <t>MIGRACIONES</t>
  </si>
  <si>
    <t>DATOS</t>
  </si>
  <si>
    <t>MINUTOS</t>
  </si>
  <si>
    <t>PLAN</t>
  </si>
  <si>
    <t>TARIFA BASICA</t>
  </si>
  <si>
    <t>TARIFA BASICA CON IMPUESTOS</t>
  </si>
  <si>
    <t>DESCUENTOS PARA MIGRACION APLICA SOBRE LA TARIFA BASICA</t>
  </si>
  <si>
    <t>TARIFA CON DESCUENTO APLICADO</t>
  </si>
  <si>
    <t>BENEFICIOS EXCLUSIVO MOVISTAR</t>
  </si>
  <si>
    <t>SOLO 
BANCARIZADO</t>
  </si>
  <si>
    <t>NAVEGACION
LIBRE</t>
  </si>
  <si>
    <t>REDES SOCIALES</t>
  </si>
  <si>
    <t>PLATAFORMAS STREAMING</t>
  </si>
  <si>
    <t>WHATSAPP</t>
  </si>
  <si>
    <t>COMPONENTE INTERNACIONAL</t>
  </si>
  <si>
    <t>MAS MUSICA
MAS VIDEO</t>
  </si>
  <si>
    <t>TOTAL DE MEGAS</t>
  </si>
  <si>
    <t>MAS MEGAS
MAS MINUTOS</t>
  </si>
  <si>
    <r>
      <rPr>
        <rFont val="Calibri"/>
        <b/>
        <color rgb="FFFFFFFF"/>
        <sz val="15.0"/>
      </rPr>
      <t xml:space="preserve">MINUTOS INCLUIDOS               </t>
    </r>
    <r>
      <rPr>
        <rFont val="Calibri"/>
        <b/>
        <color rgb="FFFFFF00"/>
        <sz val="15.0"/>
      </rPr>
      <t xml:space="preserve"> (OTRAS OP. MOVILES)</t>
    </r>
  </si>
  <si>
    <t>LLAMADAS MOVISTAR</t>
  </si>
  <si>
    <t>MUNDO</t>
  </si>
  <si>
    <t>SMS TODO DESTINO</t>
  </si>
  <si>
    <t xml:space="preserve">FAMILIA Y AMIGOS (TITULAR + 2 BENEFICIARIOS) *444  </t>
  </si>
  <si>
    <t>PREVIOPAGO PLAN MOVISTAR ONYX</t>
  </si>
  <si>
    <t>10% x 3 MESES</t>
  </si>
  <si>
    <t>CLUB MOVISTAR</t>
  </si>
  <si>
    <t xml:space="preserve"> 5 GB x 3 meses</t>
  </si>
  <si>
    <t>10 GB</t>
  </si>
  <si>
    <t>4GB</t>
  </si>
  <si>
    <t>2 GB</t>
  </si>
  <si>
    <t>LIBRE</t>
  </si>
  <si>
    <t>N/A</t>
  </si>
  <si>
    <t>16 GB</t>
  </si>
  <si>
    <t>200 MB X $ 1
12 MIN X $ 1</t>
  </si>
  <si>
    <t>130 MINUTOS</t>
  </si>
  <si>
    <t>ILIMITADOS</t>
  </si>
  <si>
    <t>PREVIOPAGO PLAN MOVISTAR STARTER PRIME</t>
  </si>
  <si>
    <t>20% x 3 MESES</t>
  </si>
  <si>
    <t xml:space="preserve">4 GB     </t>
  </si>
  <si>
    <t xml:space="preserve">18 GB </t>
  </si>
  <si>
    <t>500 MB X $ 3
12 MIN X $ 1</t>
  </si>
  <si>
    <r>
      <rPr>
        <rFont val="Montserrat"/>
        <b/>
        <color rgb="FFFFFFFF"/>
        <sz val="11.0"/>
      </rPr>
      <t>150</t>
    </r>
    <r>
      <rPr>
        <rFont val="Montserrat"/>
        <b/>
        <color rgb="FFFFFFFF"/>
        <sz val="11.0"/>
      </rPr>
      <t xml:space="preserve"> MINUTOS</t>
    </r>
  </si>
  <si>
    <t>PREVIOPAGO PLAN MOVISTAR BASIC PRIME</t>
  </si>
  <si>
    <t>$15,99</t>
  </si>
  <si>
    <t xml:space="preserve">12 GB </t>
  </si>
  <si>
    <t>LIBRE
HASTA JUNIO 2026</t>
  </si>
  <si>
    <t xml:space="preserve">20 GB </t>
  </si>
  <si>
    <r>
      <rPr>
        <rFont val="Montserrat"/>
        <b/>
        <color rgb="FFFFFFFF"/>
        <sz val="11.0"/>
      </rPr>
      <t>200</t>
    </r>
    <r>
      <rPr>
        <rFont val="Montserrat"/>
        <b/>
        <color rgb="FFFFFFFF"/>
        <sz val="11.0"/>
      </rPr>
      <t xml:space="preserve"> MINUTOS</t>
    </r>
  </si>
  <si>
    <t>PREVIOPAGO PLAN MOVISTAR BRONZE PRIME</t>
  </si>
  <si>
    <t>$18,39</t>
  </si>
  <si>
    <t xml:space="preserve">14 GB </t>
  </si>
  <si>
    <t>LIBRES</t>
  </si>
  <si>
    <t xml:space="preserve">6 GB     </t>
  </si>
  <si>
    <r>
      <rPr>
        <rFont val="Montserrat"/>
        <b/>
        <color rgb="FFFFFFFF"/>
        <sz val="11.0"/>
      </rPr>
      <t>300</t>
    </r>
    <r>
      <rPr>
        <rFont val="Montserrat"/>
        <b/>
        <color rgb="FFFFFFFF"/>
        <sz val="11.0"/>
      </rPr>
      <t xml:space="preserve"> MINUTOS</t>
    </r>
  </si>
  <si>
    <t>PREVIOPAGO PLAN MOVISTAR SILVER PRIME</t>
  </si>
  <si>
    <t>$23,39</t>
  </si>
  <si>
    <t xml:space="preserve">16 GB </t>
  </si>
  <si>
    <t xml:space="preserve">9 GB     </t>
  </si>
  <si>
    <t xml:space="preserve">25 GB </t>
  </si>
  <si>
    <r>
      <rPr>
        <rFont val="Montserrat"/>
        <b/>
        <color rgb="FFFFFFFF"/>
        <sz val="11.0"/>
      </rPr>
      <t>500</t>
    </r>
    <r>
      <rPr>
        <rFont val="Montserrat"/>
        <b/>
        <color rgb="FFFFFFFF"/>
        <sz val="11.0"/>
      </rPr>
      <t xml:space="preserve"> MINUTOS</t>
    </r>
  </si>
  <si>
    <t>PREVIOPAGO PLAN MOVISTAR GOLD PRIME</t>
  </si>
  <si>
    <t>$27,49</t>
  </si>
  <si>
    <t xml:space="preserve">22 GB </t>
  </si>
  <si>
    <t xml:space="preserve">10 GB     </t>
  </si>
  <si>
    <t>ROAMING PASAPORTE SALVAVIDAS</t>
  </si>
  <si>
    <t xml:space="preserve">32 GB </t>
  </si>
  <si>
    <r>
      <rPr>
        <rFont val="Montserrat"/>
        <b/>
        <color rgb="FFFFFFFF"/>
        <sz val="11.0"/>
      </rPr>
      <t>ILIMITADO</t>
    </r>
    <r>
      <rPr>
        <rFont val="Montserrat"/>
        <b/>
        <color rgb="FFFFFFFF"/>
        <sz val="11.0"/>
      </rPr>
      <t xml:space="preserve"> OP. MOVILES</t>
    </r>
  </si>
  <si>
    <t>PREVIOPAGO PLAN MOVISTAR PLATINUM PRIME</t>
  </si>
  <si>
    <t>$33,99</t>
  </si>
  <si>
    <t xml:space="preserve">30 GB </t>
  </si>
  <si>
    <t xml:space="preserve">12 GB     </t>
  </si>
  <si>
    <t>ROAMING PASAPORTE MOVISTAR</t>
  </si>
  <si>
    <t xml:space="preserve">42 GB </t>
  </si>
  <si>
    <r>
      <rPr>
        <rFont val="Montserrat"/>
        <b/>
        <color rgb="FFFFFFFF"/>
        <sz val="11.0"/>
      </rPr>
      <t>ILIMITADO</t>
    </r>
    <r>
      <rPr>
        <rFont val="Montserrat"/>
        <b/>
        <color rgb="FFFFFFFF"/>
        <sz val="11.0"/>
      </rPr>
      <t xml:space="preserve"> OP. MOVILES</t>
    </r>
  </si>
  <si>
    <t>PREVIOPAGO PLAN MOVISTAR SAPPHIRE PRIME</t>
  </si>
  <si>
    <t>$37,99</t>
  </si>
  <si>
    <t xml:space="preserve">45 GB </t>
  </si>
  <si>
    <t xml:space="preserve">18 GB     </t>
  </si>
  <si>
    <t xml:space="preserve">63 GB </t>
  </si>
  <si>
    <r>
      <rPr>
        <rFont val="Montserrat"/>
        <b/>
        <color rgb="FFFFFFFF"/>
        <sz val="11.0"/>
      </rPr>
      <t>ILIMITADO</t>
    </r>
    <r>
      <rPr>
        <rFont val="Montserrat"/>
        <b/>
        <color rgb="FFFFFFFF"/>
        <sz val="11.0"/>
      </rPr>
      <t xml:space="preserve"> OP. MOVILES</t>
    </r>
  </si>
  <si>
    <t>PREVIOPAGO PLAN MOVISTAR DIAMOND PRIME</t>
  </si>
  <si>
    <t>$59,99</t>
  </si>
  <si>
    <t xml:space="preserve">80 GB </t>
  </si>
  <si>
    <t xml:space="preserve">25 GB     </t>
  </si>
  <si>
    <t>ROAMING PASAPORTE EJECUTIVO</t>
  </si>
  <si>
    <t xml:space="preserve">105 GB </t>
  </si>
  <si>
    <r>
      <rPr>
        <rFont val="Montserrat"/>
        <b/>
        <color rgb="FFFFFFFF"/>
        <sz val="11.0"/>
      </rPr>
      <t>ILIMITADO</t>
    </r>
    <r>
      <rPr>
        <rFont val="Montserrat"/>
        <b/>
        <color rgb="FFFFFFFF"/>
        <sz val="11.0"/>
      </rPr>
      <t xml:space="preserve"> OP. MOVILES</t>
    </r>
  </si>
  <si>
    <t>UPSELL</t>
  </si>
  <si>
    <t>DESCUENTOS PARA UPSELL APLICA SOBRE LA TARIFA BASICA</t>
  </si>
  <si>
    <r>
      <rPr>
        <rFont val="Calibri"/>
        <b/>
        <color rgb="FFFFFFFF"/>
        <sz val="15.0"/>
      </rPr>
      <t xml:space="preserve">MINUTOS INCLUIDOS               </t>
    </r>
    <r>
      <rPr>
        <rFont val="Calibri"/>
        <b/>
        <color rgb="FFFFFF00"/>
        <sz val="15.0"/>
      </rPr>
      <t xml:space="preserve"> (OTRAS OP. MOVILES)</t>
    </r>
  </si>
  <si>
    <t>10% x 1 MES</t>
  </si>
  <si>
    <r>
      <rPr>
        <rFont val="Montserrat"/>
        <b/>
        <color rgb="FFFFFFFF"/>
        <sz val="11.0"/>
      </rPr>
      <t>150</t>
    </r>
    <r>
      <rPr>
        <rFont val="Montserrat"/>
        <b/>
        <color rgb="FFFFFFFF"/>
        <sz val="11.0"/>
      </rPr>
      <t xml:space="preserve"> MINUTOS</t>
    </r>
  </si>
  <si>
    <t>15% x 2 MESES</t>
  </si>
  <si>
    <t>LIBRE
12 MESES</t>
  </si>
  <si>
    <r>
      <rPr>
        <rFont val="Montserrat"/>
        <b/>
        <color rgb="FFFFFFFF"/>
        <sz val="11.0"/>
      </rPr>
      <t>200</t>
    </r>
    <r>
      <rPr>
        <rFont val="Montserrat"/>
        <b/>
        <color rgb="FFFFFFFF"/>
        <sz val="11.0"/>
      </rPr>
      <t xml:space="preserve"> MINUTOS</t>
    </r>
  </si>
  <si>
    <r>
      <rPr>
        <rFont val="Montserrat"/>
        <b/>
        <color rgb="FFFFFFFF"/>
        <sz val="11.0"/>
      </rPr>
      <t>300</t>
    </r>
    <r>
      <rPr>
        <rFont val="Montserrat"/>
        <b/>
        <color rgb="FFFFFFFF"/>
        <sz val="11.0"/>
      </rPr>
      <t xml:space="preserve"> MINUTOS</t>
    </r>
  </si>
  <si>
    <r>
      <rPr>
        <rFont val="Montserrat"/>
        <b/>
        <color rgb="FFFFFFFF"/>
        <sz val="11.0"/>
      </rPr>
      <t>500</t>
    </r>
    <r>
      <rPr>
        <rFont val="Montserrat"/>
        <b/>
        <color rgb="FFFFFFFF"/>
        <sz val="11.0"/>
      </rPr>
      <t xml:space="preserve"> MINUTOS</t>
    </r>
  </si>
  <si>
    <t>20% x 2 MESES</t>
  </si>
  <si>
    <r>
      <rPr>
        <rFont val="Montserrat"/>
        <b/>
        <color rgb="FFFFFFFF"/>
        <sz val="11.0"/>
      </rPr>
      <t>ILIMITADO</t>
    </r>
    <r>
      <rPr>
        <rFont val="Montserrat"/>
        <b/>
        <color rgb="FFFFFFFF"/>
        <sz val="11.0"/>
      </rPr>
      <t xml:space="preserve"> OP. MOVILES</t>
    </r>
  </si>
  <si>
    <r>
      <rPr>
        <rFont val="Montserrat"/>
        <b/>
        <color rgb="FFFFFFFF"/>
        <sz val="11.0"/>
      </rPr>
      <t>ILIMITADO</t>
    </r>
    <r>
      <rPr>
        <rFont val="Montserrat"/>
        <b/>
        <color rgb="FFFFFFFF"/>
        <sz val="11.0"/>
      </rPr>
      <t xml:space="preserve"> OP. MOVILES</t>
    </r>
  </si>
  <si>
    <r>
      <rPr>
        <rFont val="Montserrat"/>
        <b/>
        <color rgb="FFFFFFFF"/>
        <sz val="11.0"/>
      </rPr>
      <t>ILIMITADO</t>
    </r>
    <r>
      <rPr>
        <rFont val="Montserrat"/>
        <b/>
        <color rgb="FFFFFFFF"/>
        <sz val="11.0"/>
      </rPr>
      <t xml:space="preserve"> OP. MOVILES</t>
    </r>
  </si>
  <si>
    <r>
      <rPr>
        <rFont val="Montserrat"/>
        <b/>
        <color rgb="FFFFFFFF"/>
        <sz val="11.0"/>
      </rPr>
      <t>ILIMITADO</t>
    </r>
    <r>
      <rPr>
        <rFont val="Montserrat"/>
        <b/>
        <color rgb="FFFFFFFF"/>
        <sz val="11.0"/>
      </rPr>
      <t xml:space="preserve"> OP. MOVILES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</si>
</sst>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[$$]#,##0.00"/>
    <numFmt numFmtId="166" formatCode="&quot;$&quot;#,##0"/>
  </numFmts>
  <fonts count="30">
    <font>
      <sz val="11.0"/>
      <color theme="1"/>
      <name val="Calibri"/>
      <scheme val="minor"/>
    </font>
    <font>
      <sz val="9.0"/>
      <color theme="1"/>
      <name val="Calibri"/>
    </font>
    <font>
      <sz val="10.0"/>
      <color theme="1"/>
      <name val="Calibri"/>
    </font>
    <font>
      <b/>
      <sz val="14.0"/>
      <color rgb="FFFFFFFF"/>
      <name val="Lexend"/>
    </font>
    <font/>
    <font>
      <b/>
      <sz val="24.0"/>
      <color theme="0"/>
      <name val="Montserrat"/>
    </font>
    <font>
      <b/>
      <sz val="16.0"/>
      <color rgb="FFFFFFFF"/>
      <name val="Montserrat"/>
    </font>
    <font>
      <b/>
      <sz val="15.0"/>
      <color rgb="FFFFFFFF"/>
      <name val="Calibri"/>
    </font>
    <font>
      <b/>
      <sz val="10.0"/>
      <color rgb="FF0B5394"/>
      <name val="Lexend"/>
    </font>
    <font>
      <b/>
      <sz val="10.0"/>
      <color rgb="FFFFFFFF"/>
      <name val="Lexend"/>
    </font>
    <font>
      <b/>
      <sz val="11.0"/>
      <color rgb="FF1C4587"/>
      <name val="Montserrat"/>
    </font>
    <font>
      <b/>
      <sz val="11.0"/>
      <color rgb="FFFFFFFF"/>
      <name val="Calibri"/>
    </font>
    <font>
      <b/>
      <sz val="10.0"/>
      <color rgb="FFFFFFFF"/>
      <name val="Calibri"/>
    </font>
    <font>
      <b/>
      <sz val="20.0"/>
      <color rgb="FFFFFFFF"/>
      <name val="Lucida Sans"/>
    </font>
    <font>
      <b/>
      <sz val="12.0"/>
      <color rgb="FFFFFFFF"/>
      <name val="Calibri"/>
    </font>
    <font>
      <b/>
      <sz val="16.0"/>
      <color rgb="FF2E75B5"/>
      <name val="Montserrat"/>
    </font>
    <font>
      <b/>
      <sz val="16.0"/>
      <color rgb="FF0B5394"/>
      <name val="Montserrat"/>
    </font>
    <font>
      <b/>
      <sz val="16.0"/>
      <color rgb="FFFFFF00"/>
      <name val="Montserrat"/>
    </font>
    <font>
      <b/>
      <sz val="16.0"/>
      <color rgb="FF1C4587"/>
      <name val="Montserrat"/>
    </font>
    <font>
      <b/>
      <sz val="14.0"/>
      <color rgb="FFFFFFFF"/>
      <name val="Montserrat"/>
    </font>
    <font>
      <b/>
      <sz val="10.0"/>
      <color rgb="FFFFFFFF"/>
      <name val="Montserrat"/>
    </font>
    <font>
      <b/>
      <sz val="16.0"/>
      <color rgb="FF1155CC"/>
      <name val="Montserrat"/>
    </font>
    <font>
      <b/>
      <sz val="12.0"/>
      <color rgb="FF2E75B5"/>
      <name val="Montserrat"/>
    </font>
    <font>
      <b/>
      <sz val="14.0"/>
      <color rgb="FF2E75B5"/>
      <name val="Montserrat"/>
    </font>
    <font>
      <b/>
      <sz val="12.0"/>
      <color theme="4"/>
      <name val="Montserrat"/>
    </font>
    <font>
      <b/>
      <sz val="11.0"/>
      <color rgb="FFFFFFFF"/>
      <name val="Montserrat"/>
    </font>
    <font>
      <b/>
      <sz val="12.0"/>
      <color rgb="FF1155CC"/>
      <name val="Montserrat"/>
    </font>
    <font>
      <b/>
      <sz val="10.0"/>
      <color rgb="FF2E75B5"/>
      <name val="Movistar text"/>
    </font>
    <font>
      <b/>
      <sz val="9.0"/>
      <color rgb="FF2E75B5"/>
      <name val="Montserrat"/>
    </font>
    <font>
      <b/>
      <sz val="11.0"/>
      <color rgb="FF2E75B5"/>
      <name val="Montserrat"/>
    </font>
  </fonts>
  <fills count="17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073763"/>
        <bgColor rgb="FF073763"/>
      </patternFill>
    </fill>
    <fill>
      <patternFill patternType="solid">
        <fgColor rgb="FFFFFF00"/>
        <bgColor rgb="FFFFFF00"/>
      </patternFill>
    </fill>
    <fill>
      <patternFill patternType="solid">
        <fgColor rgb="FFA64D79"/>
        <bgColor rgb="FFA64D79"/>
      </patternFill>
    </fill>
    <fill>
      <patternFill patternType="solid">
        <fgColor rgb="FF3C78D8"/>
        <bgColor rgb="FF3C78D8"/>
      </patternFill>
    </fill>
    <fill>
      <patternFill patternType="solid">
        <fgColor rgb="FF351C75"/>
        <bgColor rgb="FF351C75"/>
      </patternFill>
    </fill>
    <fill>
      <patternFill patternType="solid">
        <fgColor rgb="FF00FF00"/>
        <bgColor rgb="FF00FF00"/>
      </patternFill>
    </fill>
    <fill>
      <patternFill patternType="solid">
        <fgColor rgb="FF1155CC"/>
        <bgColor rgb="FF1155CC"/>
      </patternFill>
    </fill>
    <fill>
      <patternFill patternType="solid">
        <fgColor rgb="FFCFE2F3"/>
        <bgColor rgb="FFCFE2F3"/>
      </patternFill>
    </fill>
    <fill>
      <patternFill patternType="solid">
        <fgColor rgb="FF0BD1EC"/>
        <bgColor rgb="FF0BD1EC"/>
      </patternFill>
    </fill>
    <fill>
      <patternFill patternType="solid">
        <fgColor rgb="FFFFFFFF"/>
        <bgColor rgb="FFFFFFFF"/>
      </patternFill>
    </fill>
    <fill>
      <patternFill patternType="solid">
        <fgColor rgb="FF9EECBA"/>
        <bgColor rgb="FF9EECBA"/>
      </patternFill>
    </fill>
    <fill>
      <patternFill patternType="solid">
        <fgColor rgb="FFEAD1DC"/>
        <bgColor rgb="FFEAD1DC"/>
      </patternFill>
    </fill>
    <fill>
      <patternFill patternType="solid">
        <fgColor rgb="FF3D85C6"/>
        <bgColor rgb="FF3D85C6"/>
      </patternFill>
    </fill>
    <fill>
      <patternFill patternType="solid">
        <fgColor rgb="FFC27BA0"/>
        <bgColor rgb="FFC27BA0"/>
      </patternFill>
    </fill>
  </fills>
  <borders count="11">
    <border/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medium">
        <color theme="4"/>
      </left>
      <top style="medium">
        <color theme="4"/>
      </top>
    </border>
    <border>
      <top style="medium">
        <color theme="4"/>
      </top>
    </border>
    <border>
      <right style="medium">
        <color theme="4"/>
      </right>
      <top style="medium">
        <color theme="4"/>
      </top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0"/>
    </xf>
    <xf borderId="2" fillId="0" fontId="4" numFmtId="0" xfId="0" applyBorder="1" applyFont="1"/>
    <xf borderId="0" fillId="3" fontId="5" numFmtId="0" xfId="0" applyAlignment="1" applyFill="1" applyFont="1">
      <alignment horizontal="center" shrinkToFit="0" vertical="center" wrapText="1"/>
    </xf>
    <xf borderId="3" fillId="3" fontId="5" numFmtId="0" xfId="0" applyAlignment="1" applyBorder="1" applyFont="1">
      <alignment horizontal="center" shrinkToFit="0" vertical="center" wrapText="1"/>
    </xf>
    <xf borderId="4" fillId="0" fontId="4" numFmtId="0" xfId="0" applyBorder="1" applyFont="1"/>
    <xf borderId="5" fillId="0" fontId="4" numFmtId="0" xfId="0" applyBorder="1" applyFont="1"/>
    <xf borderId="6" fillId="2" fontId="6" numFmtId="0" xfId="0" applyAlignment="1" applyBorder="1" applyFont="1">
      <alignment horizontal="center" shrinkToFit="0" vertical="center" wrapText="1"/>
    </xf>
    <xf borderId="6" fillId="2" fontId="7" numFmtId="164" xfId="0" applyAlignment="1" applyBorder="1" applyFont="1" applyNumberFormat="1">
      <alignment horizontal="center" shrinkToFit="0" vertical="center" wrapText="1"/>
    </xf>
    <xf borderId="6" fillId="4" fontId="8" numFmtId="164" xfId="0" applyAlignment="1" applyBorder="1" applyFill="1" applyFont="1" applyNumberFormat="1">
      <alignment horizontal="center" readingOrder="0" shrinkToFit="0" vertical="center" wrapText="1"/>
    </xf>
    <xf borderId="6" fillId="5" fontId="9" numFmtId="164" xfId="0" applyAlignment="1" applyBorder="1" applyFill="1" applyFont="1" applyNumberFormat="1">
      <alignment horizontal="center" readingOrder="0" shrinkToFit="0" vertical="center" wrapText="1"/>
    </xf>
    <xf borderId="6" fillId="2" fontId="3" numFmtId="0" xfId="0" applyAlignment="1" applyBorder="1" applyFont="1">
      <alignment horizontal="center" readingOrder="0" shrinkToFit="0" vertical="center" wrapText="0"/>
    </xf>
    <xf borderId="6" fillId="6" fontId="7" numFmtId="0" xfId="0" applyAlignment="1" applyBorder="1" applyFill="1" applyFont="1">
      <alignment horizontal="center" shrinkToFit="0" vertical="center" wrapText="1"/>
    </xf>
    <xf borderId="6" fillId="7" fontId="3" numFmtId="0" xfId="0" applyAlignment="1" applyBorder="1" applyFill="1" applyFont="1">
      <alignment horizontal="center" readingOrder="0" shrinkToFit="0" vertical="bottom" wrapText="1"/>
    </xf>
    <xf borderId="6" fillId="8" fontId="10" numFmtId="0" xfId="0" applyAlignment="1" applyBorder="1" applyFill="1" applyFont="1">
      <alignment horizontal="center" shrinkToFit="0" vertical="center" wrapText="1"/>
    </xf>
    <xf borderId="6" fillId="2" fontId="11" numFmtId="0" xfId="0" applyAlignment="1" applyBorder="1" applyFont="1">
      <alignment horizontal="center" shrinkToFit="0" vertical="center" wrapText="1"/>
    </xf>
    <xf borderId="6" fillId="8" fontId="10" numFmtId="0" xfId="0" applyAlignment="1" applyBorder="1" applyFont="1">
      <alignment horizontal="center" readingOrder="0" shrinkToFit="0" vertical="center" wrapText="1"/>
    </xf>
    <xf borderId="6" fillId="2" fontId="12" numFmtId="0" xfId="0" applyAlignment="1" applyBorder="1" applyFont="1">
      <alignment horizontal="center" readingOrder="0" shrinkToFit="0" vertical="center" wrapText="1"/>
    </xf>
    <xf borderId="7" fillId="5" fontId="13" numFmtId="0" xfId="0" applyAlignment="1" applyBorder="1" applyFont="1">
      <alignment horizontal="center" readingOrder="0" shrinkToFit="0" vertical="center" wrapText="1"/>
    </xf>
    <xf borderId="6" fillId="6" fontId="14" numFmtId="0" xfId="0" applyAlignment="1" applyBorder="1" applyFont="1">
      <alignment horizontal="center" readingOrder="0" shrinkToFit="0" vertical="center" wrapText="1"/>
    </xf>
    <xf borderId="6" fillId="9" fontId="14" numFmtId="0" xfId="0" applyAlignment="1" applyBorder="1" applyFill="1" applyFont="1">
      <alignment horizontal="center" readingOrder="0" shrinkToFit="0" vertical="center" wrapText="1"/>
    </xf>
    <xf borderId="6" fillId="0" fontId="15" numFmtId="164" xfId="0" applyAlignment="1" applyBorder="1" applyFont="1" applyNumberFormat="1">
      <alignment horizontal="center" readingOrder="0" shrinkToFit="0" vertical="center" wrapText="1"/>
    </xf>
    <xf borderId="6" fillId="4" fontId="16" numFmtId="164" xfId="0" applyAlignment="1" applyBorder="1" applyFont="1" applyNumberFormat="1">
      <alignment horizontal="center" shrinkToFit="0" vertical="center" wrapText="1"/>
    </xf>
    <xf borderId="6" fillId="9" fontId="17" numFmtId="164" xfId="0" applyAlignment="1" applyBorder="1" applyFont="1" applyNumberFormat="1">
      <alignment horizontal="center" readingOrder="0" shrinkToFit="0" vertical="center" wrapText="1"/>
    </xf>
    <xf borderId="6" fillId="10" fontId="18" numFmtId="165" xfId="0" applyAlignment="1" applyBorder="1" applyFill="1" applyFont="1" applyNumberFormat="1">
      <alignment horizontal="center" shrinkToFit="0" vertical="center" wrapText="1"/>
    </xf>
    <xf borderId="6" fillId="9" fontId="19" numFmtId="0" xfId="0" applyAlignment="1" applyBorder="1" applyFont="1">
      <alignment horizontal="center" readingOrder="0" shrinkToFit="0" vertical="center" wrapText="1"/>
    </xf>
    <xf borderId="6" fillId="9" fontId="20" numFmtId="0" xfId="0" applyAlignment="1" applyBorder="1" applyFont="1">
      <alignment horizontal="center" readingOrder="0" shrinkToFit="0" vertical="center" wrapText="1"/>
    </xf>
    <xf borderId="6" fillId="9" fontId="6" numFmtId="0" xfId="0" applyAlignment="1" applyBorder="1" applyFont="1">
      <alignment horizontal="center" readingOrder="0" shrinkToFit="0" vertical="center" wrapText="1"/>
    </xf>
    <xf borderId="6" fillId="0" fontId="21" numFmtId="0" xfId="0" applyAlignment="1" applyBorder="1" applyFont="1">
      <alignment horizontal="center" readingOrder="0" shrinkToFit="0" vertical="center" wrapText="1"/>
    </xf>
    <xf borderId="6" fillId="11" fontId="17" numFmtId="166" xfId="0" applyAlignment="1" applyBorder="1" applyFill="1" applyFont="1" applyNumberFormat="1">
      <alignment horizontal="center" readingOrder="0" shrinkToFit="0" vertical="center" wrapText="1"/>
    </xf>
    <xf borderId="8" fillId="0" fontId="22" numFmtId="0" xfId="0" applyAlignment="1" applyBorder="1" applyFont="1">
      <alignment horizontal="center" readingOrder="0" shrinkToFit="0" vertical="center" wrapText="1"/>
    </xf>
    <xf borderId="9" fillId="12" fontId="22" numFmtId="0" xfId="0" applyAlignment="1" applyBorder="1" applyFill="1" applyFont="1">
      <alignment horizontal="center" vertical="center"/>
    </xf>
    <xf borderId="8" fillId="12" fontId="22" numFmtId="0" xfId="0" applyAlignment="1" applyBorder="1" applyFont="1">
      <alignment horizontal="right" readingOrder="0" shrinkToFit="0" vertical="center" wrapText="1"/>
    </xf>
    <xf borderId="10" fillId="13" fontId="23" numFmtId="0" xfId="0" applyAlignment="1" applyBorder="1" applyFill="1" applyFont="1">
      <alignment horizontal="center" readingOrder="0" shrinkToFit="0" vertical="center" wrapText="1"/>
    </xf>
    <xf borderId="9" fillId="14" fontId="24" numFmtId="0" xfId="0" applyAlignment="1" applyBorder="1" applyFill="1" applyFont="1">
      <alignment horizontal="center" readingOrder="0" vertical="center"/>
    </xf>
    <xf borderId="6" fillId="15" fontId="25" numFmtId="0" xfId="0" applyAlignment="1" applyBorder="1" applyFill="1" applyFont="1">
      <alignment horizontal="center" readingOrder="0" shrinkToFit="0" vertical="center" wrapText="1"/>
    </xf>
    <xf borderId="6" fillId="6" fontId="25" numFmtId="0" xfId="0" applyAlignment="1" applyBorder="1" applyFont="1">
      <alignment horizontal="center" readingOrder="0" shrinkToFit="0" vertical="center" wrapText="1"/>
    </xf>
    <xf borderId="6" fillId="0" fontId="26" numFmtId="0" xfId="0" applyAlignment="1" applyBorder="1" applyFont="1">
      <alignment horizontal="center" shrinkToFit="0" vertical="center" wrapText="1"/>
    </xf>
    <xf borderId="6" fillId="0" fontId="27" numFmtId="0" xfId="0" applyAlignment="1" applyBorder="1" applyFont="1">
      <alignment horizontal="center" shrinkToFit="0" vertical="center" wrapText="1"/>
    </xf>
    <xf borderId="9" fillId="14" fontId="22" numFmtId="0" xfId="0" applyAlignment="1" applyBorder="1" applyFont="1">
      <alignment horizontal="center" readingOrder="0" vertical="center"/>
    </xf>
    <xf borderId="6" fillId="6" fontId="25" numFmtId="0" xfId="0" applyAlignment="1" applyBorder="1" applyFont="1">
      <alignment horizontal="center" shrinkToFit="0" vertical="center" wrapText="1"/>
    </xf>
    <xf borderId="8" fillId="12" fontId="28" numFmtId="0" xfId="0" applyAlignment="1" applyBorder="1" applyFont="1">
      <alignment horizontal="right" readingOrder="0" shrinkToFit="0" vertical="center" wrapText="1"/>
    </xf>
    <xf borderId="0" fillId="13" fontId="23" numFmtId="0" xfId="0" applyAlignment="1" applyFont="1">
      <alignment horizontal="center" readingOrder="0" vertical="center"/>
    </xf>
    <xf borderId="6" fillId="16" fontId="6" numFmtId="0" xfId="0" applyAlignment="1" applyBorder="1" applyFill="1" applyFont="1">
      <alignment horizontal="center" readingOrder="0" shrinkToFit="0" vertical="center" wrapText="1"/>
    </xf>
    <xf borderId="9" fillId="12" fontId="29" numFmtId="0" xfId="0" applyAlignment="1" applyBorder="1" applyFont="1">
      <alignment horizontal="center" vertical="center"/>
    </xf>
    <xf borderId="6" fillId="15" fontId="25" numFmtId="0" xfId="0" applyAlignment="1" applyBorder="1" applyFont="1">
      <alignment horizontal="center" shrinkToFit="0" vertical="center" wrapText="1"/>
    </xf>
    <xf borderId="6" fillId="11" fontId="6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12.png"/><Relationship Id="rId10" Type="http://schemas.openxmlformats.org/officeDocument/2006/relationships/image" Target="../media/image16.png"/><Relationship Id="rId13" Type="http://schemas.openxmlformats.org/officeDocument/2006/relationships/image" Target="../media/image15.png"/><Relationship Id="rId12" Type="http://schemas.openxmlformats.org/officeDocument/2006/relationships/image" Target="../media/image11.png"/><Relationship Id="rId1" Type="http://schemas.openxmlformats.org/officeDocument/2006/relationships/image" Target="../media/image18.png"/><Relationship Id="rId2" Type="http://schemas.openxmlformats.org/officeDocument/2006/relationships/image" Target="../media/image10.png"/><Relationship Id="rId3" Type="http://schemas.openxmlformats.org/officeDocument/2006/relationships/image" Target="../media/image2.png"/><Relationship Id="rId4" Type="http://schemas.openxmlformats.org/officeDocument/2006/relationships/image" Target="../media/image8.png"/><Relationship Id="rId9" Type="http://schemas.openxmlformats.org/officeDocument/2006/relationships/image" Target="../media/image3.png"/><Relationship Id="rId15" Type="http://schemas.openxmlformats.org/officeDocument/2006/relationships/image" Target="../media/image9.png"/><Relationship Id="rId14" Type="http://schemas.openxmlformats.org/officeDocument/2006/relationships/image" Target="../media/image14.png"/><Relationship Id="rId16" Type="http://schemas.openxmlformats.org/officeDocument/2006/relationships/image" Target="../media/image13.png"/><Relationship Id="rId5" Type="http://schemas.openxmlformats.org/officeDocument/2006/relationships/image" Target="../media/image7.png"/><Relationship Id="rId6" Type="http://schemas.openxmlformats.org/officeDocument/2006/relationships/image" Target="../media/image5.png"/><Relationship Id="rId7" Type="http://schemas.openxmlformats.org/officeDocument/2006/relationships/image" Target="../media/image1.png"/><Relationship Id="rId8" Type="http://schemas.openxmlformats.org/officeDocument/2006/relationships/image" Target="../media/image4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3.xml.rels><?xml version="1.0" encoding="UTF-8" standalone="yes"?><Relationships xmlns="http://schemas.openxmlformats.org/package/2006/relationships"><Relationship Id="rId11" Type="http://schemas.openxmlformats.org/officeDocument/2006/relationships/image" Target="../media/image12.png"/><Relationship Id="rId10" Type="http://schemas.openxmlformats.org/officeDocument/2006/relationships/image" Target="../media/image16.png"/><Relationship Id="rId13" Type="http://schemas.openxmlformats.org/officeDocument/2006/relationships/image" Target="../media/image11.png"/><Relationship Id="rId12" Type="http://schemas.openxmlformats.org/officeDocument/2006/relationships/image" Target="../media/image15.png"/><Relationship Id="rId1" Type="http://schemas.openxmlformats.org/officeDocument/2006/relationships/image" Target="../media/image18.png"/><Relationship Id="rId2" Type="http://schemas.openxmlformats.org/officeDocument/2006/relationships/image" Target="../media/image10.png"/><Relationship Id="rId3" Type="http://schemas.openxmlformats.org/officeDocument/2006/relationships/image" Target="../media/image2.png"/><Relationship Id="rId4" Type="http://schemas.openxmlformats.org/officeDocument/2006/relationships/image" Target="../media/image8.png"/><Relationship Id="rId9" Type="http://schemas.openxmlformats.org/officeDocument/2006/relationships/image" Target="../media/image3.png"/><Relationship Id="rId15" Type="http://schemas.openxmlformats.org/officeDocument/2006/relationships/image" Target="../media/image9.png"/><Relationship Id="rId14" Type="http://schemas.openxmlformats.org/officeDocument/2006/relationships/image" Target="../media/image14.png"/><Relationship Id="rId16" Type="http://schemas.openxmlformats.org/officeDocument/2006/relationships/image" Target="../media/image13.png"/><Relationship Id="rId5" Type="http://schemas.openxmlformats.org/officeDocument/2006/relationships/image" Target="../media/image7.png"/><Relationship Id="rId6" Type="http://schemas.openxmlformats.org/officeDocument/2006/relationships/image" Target="../media/image5.png"/><Relationship Id="rId7" Type="http://schemas.openxmlformats.org/officeDocument/2006/relationships/image" Target="../media/image1.png"/><Relationship Id="rId8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47625</xdr:colOff>
      <xdr:row>4</xdr:row>
      <xdr:rowOff>19050</xdr:rowOff>
    </xdr:from>
    <xdr:ext cx="1495425" cy="714375"/>
    <xdr:grpSp>
      <xdr:nvGrpSpPr>
        <xdr:cNvPr id="2" name="Shape 2" title="Dibujo"/>
        <xdr:cNvGrpSpPr/>
      </xdr:nvGrpSpPr>
      <xdr:grpSpPr>
        <a:xfrm>
          <a:off x="1317125" y="551125"/>
          <a:ext cx="1806900" cy="913500"/>
          <a:chOff x="1317125" y="551125"/>
          <a:chExt cx="1806900" cy="913500"/>
        </a:xfrm>
      </xdr:grpSpPr>
      <xdr:sp>
        <xdr:nvSpPr>
          <xdr:cNvPr id="3" name="Shape 3"/>
          <xdr:cNvSpPr/>
        </xdr:nvSpPr>
        <xdr:spPr>
          <a:xfrm>
            <a:off x="1317125" y="551125"/>
            <a:ext cx="1806900" cy="913500"/>
          </a:xfrm>
          <a:prstGeom prst="roundRect">
            <a:avLst>
              <a:gd fmla="val 16667" name="adj"/>
            </a:avLst>
          </a:prstGeom>
          <a:solidFill>
            <a:srgbClr val="FFFFFF"/>
          </a:solidFill>
          <a:ln cap="flat" cmpd="sng" w="9525">
            <a:solidFill>
              <a:srgbClr val="FFFFFF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pic>
        <xdr:nvPicPr>
          <xdr:cNvPr id="4" name="Shape 4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396663" y="650688"/>
            <a:ext cx="1647825" cy="71437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17</xdr:col>
      <xdr:colOff>1638300</xdr:colOff>
      <xdr:row>3</xdr:row>
      <xdr:rowOff>9525</xdr:rowOff>
    </xdr:from>
    <xdr:ext cx="1581150" cy="714375"/>
    <xdr:grpSp>
      <xdr:nvGrpSpPr>
        <xdr:cNvPr id="2" name="Shape 2" title="Dibujo"/>
        <xdr:cNvGrpSpPr/>
      </xdr:nvGrpSpPr>
      <xdr:grpSpPr>
        <a:xfrm>
          <a:off x="1396663" y="650688"/>
          <a:ext cx="1647825" cy="714375"/>
          <a:chOff x="1396663" y="650688"/>
          <a:chExt cx="1647825" cy="714375"/>
        </a:xfrm>
      </xdr:grpSpPr>
      <xdr:pic>
        <xdr:nvPicPr>
          <xdr:cNvPr id="5" name="Shape 5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396663" y="650688"/>
            <a:ext cx="1647825" cy="71437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18</xdr:col>
      <xdr:colOff>57150</xdr:colOff>
      <xdr:row>3</xdr:row>
      <xdr:rowOff>9525</xdr:rowOff>
    </xdr:from>
    <xdr:ext cx="1495425" cy="733425"/>
    <xdr:grpSp>
      <xdr:nvGrpSpPr>
        <xdr:cNvPr id="2" name="Shape 2" title="Dibujo"/>
        <xdr:cNvGrpSpPr/>
      </xdr:nvGrpSpPr>
      <xdr:grpSpPr>
        <a:xfrm>
          <a:off x="1396663" y="650688"/>
          <a:ext cx="1647825" cy="714375"/>
          <a:chOff x="1396663" y="650688"/>
          <a:chExt cx="1647825" cy="714375"/>
        </a:xfrm>
      </xdr:grpSpPr>
      <xdr:pic>
        <xdr:nvPicPr>
          <xdr:cNvPr id="6" name="Shape 6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396663" y="650688"/>
            <a:ext cx="1647825" cy="71437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12</xdr:col>
      <xdr:colOff>66675</xdr:colOff>
      <xdr:row>6</xdr:row>
      <xdr:rowOff>38100</xdr:rowOff>
    </xdr:from>
    <xdr:ext cx="295275" cy="276225"/>
    <xdr:pic>
      <xdr:nvPicPr>
        <xdr:cNvPr id="0" name="image10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28575</xdr:colOff>
      <xdr:row>2</xdr:row>
      <xdr:rowOff>123825</xdr:rowOff>
    </xdr:from>
    <xdr:ext cx="990600" cy="209550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66675</xdr:colOff>
      <xdr:row>6</xdr:row>
      <xdr:rowOff>428625</xdr:rowOff>
    </xdr:from>
    <xdr:ext cx="304800" cy="276225"/>
    <xdr:pic>
      <xdr:nvPicPr>
        <xdr:cNvPr id="0" name="image8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66675</xdr:colOff>
      <xdr:row>7</xdr:row>
      <xdr:rowOff>409575</xdr:rowOff>
    </xdr:from>
    <xdr:ext cx="314325" cy="276225"/>
    <xdr:pic>
      <xdr:nvPicPr>
        <xdr:cNvPr id="0" name="image8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66675</xdr:colOff>
      <xdr:row>8</xdr:row>
      <xdr:rowOff>390525</xdr:rowOff>
    </xdr:from>
    <xdr:ext cx="314325" cy="276225"/>
    <xdr:pic>
      <xdr:nvPicPr>
        <xdr:cNvPr id="0" name="image8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66675</xdr:colOff>
      <xdr:row>9</xdr:row>
      <xdr:rowOff>438150</xdr:rowOff>
    </xdr:from>
    <xdr:ext cx="314325" cy="276225"/>
    <xdr:pic>
      <xdr:nvPicPr>
        <xdr:cNvPr id="0" name="image8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57150</xdr:colOff>
      <xdr:row>10</xdr:row>
      <xdr:rowOff>447675</xdr:rowOff>
    </xdr:from>
    <xdr:ext cx="314325" cy="276225"/>
    <xdr:pic>
      <xdr:nvPicPr>
        <xdr:cNvPr id="0" name="image8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66675</xdr:colOff>
      <xdr:row>11</xdr:row>
      <xdr:rowOff>457200</xdr:rowOff>
    </xdr:from>
    <xdr:ext cx="314325" cy="276225"/>
    <xdr:pic>
      <xdr:nvPicPr>
        <xdr:cNvPr id="0" name="image8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142875</xdr:colOff>
      <xdr:row>5</xdr:row>
      <xdr:rowOff>504825</xdr:rowOff>
    </xdr:from>
    <xdr:ext cx="1381125" cy="209550"/>
    <xdr:pic>
      <xdr:nvPicPr>
        <xdr:cNvPr id="0" name="image7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95250</xdr:colOff>
      <xdr:row>4</xdr:row>
      <xdr:rowOff>495300</xdr:rowOff>
    </xdr:from>
    <xdr:ext cx="1447800" cy="238125"/>
    <xdr:pic>
      <xdr:nvPicPr>
        <xdr:cNvPr id="0" name="image5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47625</xdr:colOff>
      <xdr:row>5</xdr:row>
      <xdr:rowOff>76200</xdr:rowOff>
    </xdr:from>
    <xdr:ext cx="1381125" cy="647700"/>
    <xdr:pic>
      <xdr:nvPicPr>
        <xdr:cNvPr id="0" name="image1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47625</xdr:colOff>
      <xdr:row>6</xdr:row>
      <xdr:rowOff>819150</xdr:rowOff>
    </xdr:from>
    <xdr:ext cx="1447800" cy="714375"/>
    <xdr:pic>
      <xdr:nvPicPr>
        <xdr:cNvPr id="0" name="image1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47625</xdr:colOff>
      <xdr:row>5</xdr:row>
      <xdr:rowOff>819150</xdr:rowOff>
    </xdr:from>
    <xdr:ext cx="1447800" cy="714375"/>
    <xdr:pic>
      <xdr:nvPicPr>
        <xdr:cNvPr id="0" name="image1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47625</xdr:colOff>
      <xdr:row>7</xdr:row>
      <xdr:rowOff>819150</xdr:rowOff>
    </xdr:from>
    <xdr:ext cx="1447800" cy="714375"/>
    <xdr:pic>
      <xdr:nvPicPr>
        <xdr:cNvPr id="0" name="image1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47625</xdr:colOff>
      <xdr:row>8</xdr:row>
      <xdr:rowOff>819150</xdr:rowOff>
    </xdr:from>
    <xdr:ext cx="1447800" cy="714375"/>
    <xdr:pic>
      <xdr:nvPicPr>
        <xdr:cNvPr id="0" name="image1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47625</xdr:colOff>
      <xdr:row>9</xdr:row>
      <xdr:rowOff>819150</xdr:rowOff>
    </xdr:from>
    <xdr:ext cx="1447800" cy="714375"/>
    <xdr:pic>
      <xdr:nvPicPr>
        <xdr:cNvPr id="0" name="image1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47625</xdr:colOff>
      <xdr:row>11</xdr:row>
      <xdr:rowOff>819150</xdr:rowOff>
    </xdr:from>
    <xdr:ext cx="1447800" cy="714375"/>
    <xdr:pic>
      <xdr:nvPicPr>
        <xdr:cNvPr id="0" name="image1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314325</xdr:colOff>
      <xdr:row>2</xdr:row>
      <xdr:rowOff>809625</xdr:rowOff>
    </xdr:from>
    <xdr:ext cx="438150" cy="400050"/>
    <xdr:pic>
      <xdr:nvPicPr>
        <xdr:cNvPr id="0" name="image4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66675</xdr:colOff>
      <xdr:row>11</xdr:row>
      <xdr:rowOff>95250</xdr:rowOff>
    </xdr:from>
    <xdr:ext cx="295275" cy="276225"/>
    <xdr:pic>
      <xdr:nvPicPr>
        <xdr:cNvPr id="0" name="image6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66675</xdr:colOff>
      <xdr:row>10</xdr:row>
      <xdr:rowOff>76200</xdr:rowOff>
    </xdr:from>
    <xdr:ext cx="295275" cy="276225"/>
    <xdr:pic>
      <xdr:nvPicPr>
        <xdr:cNvPr id="0" name="image6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76200</xdr:colOff>
      <xdr:row>9</xdr:row>
      <xdr:rowOff>57150</xdr:rowOff>
    </xdr:from>
    <xdr:ext cx="295275" cy="276225"/>
    <xdr:pic>
      <xdr:nvPicPr>
        <xdr:cNvPr id="0" name="image6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76200</xdr:colOff>
      <xdr:row>8</xdr:row>
      <xdr:rowOff>38100</xdr:rowOff>
    </xdr:from>
    <xdr:ext cx="295275" cy="276225"/>
    <xdr:pic>
      <xdr:nvPicPr>
        <xdr:cNvPr id="0" name="image6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66675</xdr:colOff>
      <xdr:row>7</xdr:row>
      <xdr:rowOff>38100</xdr:rowOff>
    </xdr:from>
    <xdr:ext cx="295275" cy="276225"/>
    <xdr:pic>
      <xdr:nvPicPr>
        <xdr:cNvPr id="0" name="image6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161925</xdr:colOff>
      <xdr:row>2</xdr:row>
      <xdr:rowOff>419100</xdr:rowOff>
    </xdr:from>
    <xdr:ext cx="438150" cy="342900"/>
    <xdr:pic>
      <xdr:nvPicPr>
        <xdr:cNvPr id="0" name="image3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800100</xdr:colOff>
      <xdr:row>2</xdr:row>
      <xdr:rowOff>409575</xdr:rowOff>
    </xdr:from>
    <xdr:ext cx="400050" cy="371475"/>
    <xdr:pic>
      <xdr:nvPicPr>
        <xdr:cNvPr id="0" name="image16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190500</xdr:colOff>
      <xdr:row>2</xdr:row>
      <xdr:rowOff>85725</xdr:rowOff>
    </xdr:from>
    <xdr:ext cx="866775" cy="276225"/>
    <xdr:pic>
      <xdr:nvPicPr>
        <xdr:cNvPr id="0" name="image12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57150</xdr:colOff>
      <xdr:row>5</xdr:row>
      <xdr:rowOff>409575</xdr:rowOff>
    </xdr:from>
    <xdr:ext cx="304800" cy="276225"/>
    <xdr:pic>
      <xdr:nvPicPr>
        <xdr:cNvPr id="0" name="image8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66675</xdr:colOff>
      <xdr:row>5</xdr:row>
      <xdr:rowOff>76200</xdr:rowOff>
    </xdr:from>
    <xdr:ext cx="295275" cy="276225"/>
    <xdr:pic>
      <xdr:nvPicPr>
        <xdr:cNvPr id="0" name="image10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28575</xdr:colOff>
      <xdr:row>3</xdr:row>
      <xdr:rowOff>200025</xdr:rowOff>
    </xdr:from>
    <xdr:ext cx="400050" cy="371475"/>
    <xdr:pic>
      <xdr:nvPicPr>
        <xdr:cNvPr id="0" name="image10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28575</xdr:colOff>
      <xdr:row>4</xdr:row>
      <xdr:rowOff>200025</xdr:rowOff>
    </xdr:from>
    <xdr:ext cx="400050" cy="371475"/>
    <xdr:pic>
      <xdr:nvPicPr>
        <xdr:cNvPr id="0" name="image10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28575</xdr:colOff>
      <xdr:row>3</xdr:row>
      <xdr:rowOff>200025</xdr:rowOff>
    </xdr:from>
    <xdr:ext cx="400050" cy="371475"/>
    <xdr:pic>
      <xdr:nvPicPr>
        <xdr:cNvPr id="0" name="image10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28575</xdr:colOff>
      <xdr:row>3</xdr:row>
      <xdr:rowOff>200025</xdr:rowOff>
    </xdr:from>
    <xdr:ext cx="400050" cy="371475"/>
    <xdr:pic>
      <xdr:nvPicPr>
        <xdr:cNvPr id="0" name="image10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28575</xdr:colOff>
      <xdr:row>3</xdr:row>
      <xdr:rowOff>200025</xdr:rowOff>
    </xdr:from>
    <xdr:ext cx="400050" cy="371475"/>
    <xdr:pic>
      <xdr:nvPicPr>
        <xdr:cNvPr id="0" name="image10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47625</xdr:colOff>
      <xdr:row>3</xdr:row>
      <xdr:rowOff>76200</xdr:rowOff>
    </xdr:from>
    <xdr:ext cx="1381125" cy="647700"/>
    <xdr:pic>
      <xdr:nvPicPr>
        <xdr:cNvPr id="0" name="image1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3</xdr:row>
      <xdr:rowOff>0</xdr:rowOff>
    </xdr:from>
    <xdr:ext cx="1162050" cy="790575"/>
    <xdr:pic>
      <xdr:nvPicPr>
        <xdr:cNvPr id="0" name="image1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4</xdr:row>
      <xdr:rowOff>0</xdr:rowOff>
    </xdr:from>
    <xdr:ext cx="1600200" cy="809625"/>
    <xdr:pic>
      <xdr:nvPicPr>
        <xdr:cNvPr id="0" name="image1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4</xdr:row>
      <xdr:rowOff>0</xdr:rowOff>
    </xdr:from>
    <xdr:ext cx="1162050" cy="790575"/>
    <xdr:pic>
      <xdr:nvPicPr>
        <xdr:cNvPr id="0" name="image1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5</xdr:row>
      <xdr:rowOff>0</xdr:rowOff>
    </xdr:from>
    <xdr:ext cx="1600200" cy="809625"/>
    <xdr:pic>
      <xdr:nvPicPr>
        <xdr:cNvPr id="0" name="image1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5</xdr:row>
      <xdr:rowOff>0</xdr:rowOff>
    </xdr:from>
    <xdr:ext cx="1162050" cy="790575"/>
    <xdr:pic>
      <xdr:nvPicPr>
        <xdr:cNvPr id="0" name="image1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6</xdr:row>
      <xdr:rowOff>0</xdr:rowOff>
    </xdr:from>
    <xdr:ext cx="1600200" cy="809625"/>
    <xdr:pic>
      <xdr:nvPicPr>
        <xdr:cNvPr id="0" name="image14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6</xdr:row>
      <xdr:rowOff>0</xdr:rowOff>
    </xdr:from>
    <xdr:ext cx="1162050" cy="790575"/>
    <xdr:pic>
      <xdr:nvPicPr>
        <xdr:cNvPr id="0" name="image1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7</xdr:row>
      <xdr:rowOff>0</xdr:rowOff>
    </xdr:from>
    <xdr:ext cx="1619250" cy="809625"/>
    <xdr:pic>
      <xdr:nvPicPr>
        <xdr:cNvPr id="0" name="image9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7</xdr:row>
      <xdr:rowOff>0</xdr:rowOff>
    </xdr:from>
    <xdr:ext cx="1162050" cy="790575"/>
    <xdr:pic>
      <xdr:nvPicPr>
        <xdr:cNvPr id="0" name="image1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8</xdr:row>
      <xdr:rowOff>0</xdr:rowOff>
    </xdr:from>
    <xdr:ext cx="1619250" cy="809625"/>
    <xdr:pic>
      <xdr:nvPicPr>
        <xdr:cNvPr id="0" name="image9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8</xdr:row>
      <xdr:rowOff>0</xdr:rowOff>
    </xdr:from>
    <xdr:ext cx="1162050" cy="790575"/>
    <xdr:pic>
      <xdr:nvPicPr>
        <xdr:cNvPr id="0" name="image1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9</xdr:row>
      <xdr:rowOff>0</xdr:rowOff>
    </xdr:from>
    <xdr:ext cx="1619250" cy="809625"/>
    <xdr:pic>
      <xdr:nvPicPr>
        <xdr:cNvPr id="0" name="image9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9</xdr:row>
      <xdr:rowOff>0</xdr:rowOff>
    </xdr:from>
    <xdr:ext cx="1162050" cy="790575"/>
    <xdr:pic>
      <xdr:nvPicPr>
        <xdr:cNvPr id="0" name="image1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10</xdr:row>
      <xdr:rowOff>0</xdr:rowOff>
    </xdr:from>
    <xdr:ext cx="1562100" cy="809625"/>
    <xdr:pic>
      <xdr:nvPicPr>
        <xdr:cNvPr id="0" name="image1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10</xdr:row>
      <xdr:rowOff>0</xdr:rowOff>
    </xdr:from>
    <xdr:ext cx="1162050" cy="790575"/>
    <xdr:pic>
      <xdr:nvPicPr>
        <xdr:cNvPr id="0" name="image1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11</xdr:row>
      <xdr:rowOff>0</xdr:rowOff>
    </xdr:from>
    <xdr:ext cx="1562100" cy="809625"/>
    <xdr:pic>
      <xdr:nvPicPr>
        <xdr:cNvPr id="0" name="image1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11</xdr:row>
      <xdr:rowOff>0</xdr:rowOff>
    </xdr:from>
    <xdr:ext cx="1162050" cy="790575"/>
    <xdr:pic>
      <xdr:nvPicPr>
        <xdr:cNvPr id="0" name="image1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-190500</xdr:rowOff>
    </xdr:from>
    <xdr:ext cx="7305675" cy="4943475"/>
    <xdr:pic>
      <xdr:nvPicPr>
        <xdr:cNvPr id="0" name="image1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47625</xdr:colOff>
      <xdr:row>3</xdr:row>
      <xdr:rowOff>19050</xdr:rowOff>
    </xdr:from>
    <xdr:ext cx="1495425" cy="714375"/>
    <xdr:grpSp>
      <xdr:nvGrpSpPr>
        <xdr:cNvPr id="2" name="Shape 2" title="Dibujo"/>
        <xdr:cNvGrpSpPr/>
      </xdr:nvGrpSpPr>
      <xdr:grpSpPr>
        <a:xfrm>
          <a:off x="1317125" y="551125"/>
          <a:ext cx="1806900" cy="913500"/>
          <a:chOff x="1317125" y="551125"/>
          <a:chExt cx="1806900" cy="913500"/>
        </a:xfrm>
      </xdr:grpSpPr>
      <xdr:sp>
        <xdr:nvSpPr>
          <xdr:cNvPr id="3" name="Shape 3"/>
          <xdr:cNvSpPr/>
        </xdr:nvSpPr>
        <xdr:spPr>
          <a:xfrm>
            <a:off x="1317125" y="551125"/>
            <a:ext cx="1806900" cy="913500"/>
          </a:xfrm>
          <a:prstGeom prst="roundRect">
            <a:avLst>
              <a:gd fmla="val 16667" name="adj"/>
            </a:avLst>
          </a:prstGeom>
          <a:solidFill>
            <a:srgbClr val="FFFFFF"/>
          </a:solidFill>
          <a:ln cap="flat" cmpd="sng" w="9525">
            <a:solidFill>
              <a:srgbClr val="FFFFFF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pic>
        <xdr:nvPicPr>
          <xdr:cNvPr id="4" name="Shape 4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396663" y="650688"/>
            <a:ext cx="1647825" cy="71437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16</xdr:col>
      <xdr:colOff>1638300</xdr:colOff>
      <xdr:row>3</xdr:row>
      <xdr:rowOff>9525</xdr:rowOff>
    </xdr:from>
    <xdr:ext cx="1581150" cy="714375"/>
    <xdr:grpSp>
      <xdr:nvGrpSpPr>
        <xdr:cNvPr id="2" name="Shape 2" title="Dibujo"/>
        <xdr:cNvGrpSpPr/>
      </xdr:nvGrpSpPr>
      <xdr:grpSpPr>
        <a:xfrm>
          <a:off x="1396663" y="650688"/>
          <a:ext cx="1647825" cy="714375"/>
          <a:chOff x="1396663" y="650688"/>
          <a:chExt cx="1647825" cy="714375"/>
        </a:xfrm>
      </xdr:grpSpPr>
      <xdr:pic>
        <xdr:nvPicPr>
          <xdr:cNvPr id="5" name="Shape 5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396663" y="650688"/>
            <a:ext cx="1647825" cy="71437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17</xdr:col>
      <xdr:colOff>57150</xdr:colOff>
      <xdr:row>3</xdr:row>
      <xdr:rowOff>9525</xdr:rowOff>
    </xdr:from>
    <xdr:ext cx="1495425" cy="733425"/>
    <xdr:grpSp>
      <xdr:nvGrpSpPr>
        <xdr:cNvPr id="2" name="Shape 2" title="Dibujo"/>
        <xdr:cNvGrpSpPr/>
      </xdr:nvGrpSpPr>
      <xdr:grpSpPr>
        <a:xfrm>
          <a:off x="1396663" y="650688"/>
          <a:ext cx="1647825" cy="714375"/>
          <a:chOff x="1396663" y="650688"/>
          <a:chExt cx="1647825" cy="714375"/>
        </a:xfrm>
      </xdr:grpSpPr>
      <xdr:pic>
        <xdr:nvPicPr>
          <xdr:cNvPr id="6" name="Shape 6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396663" y="650688"/>
            <a:ext cx="1647825" cy="71437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11</xdr:col>
      <xdr:colOff>66675</xdr:colOff>
      <xdr:row>5</xdr:row>
      <xdr:rowOff>38100</xdr:rowOff>
    </xdr:from>
    <xdr:ext cx="295275" cy="276225"/>
    <xdr:pic>
      <xdr:nvPicPr>
        <xdr:cNvPr id="0" name="image10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2</xdr:row>
      <xdr:rowOff>123825</xdr:rowOff>
    </xdr:from>
    <xdr:ext cx="990600" cy="209550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66675</xdr:colOff>
      <xdr:row>5</xdr:row>
      <xdr:rowOff>428625</xdr:rowOff>
    </xdr:from>
    <xdr:ext cx="304800" cy="276225"/>
    <xdr:pic>
      <xdr:nvPicPr>
        <xdr:cNvPr id="0" name="image8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66675</xdr:colOff>
      <xdr:row>6</xdr:row>
      <xdr:rowOff>409575</xdr:rowOff>
    </xdr:from>
    <xdr:ext cx="314325" cy="276225"/>
    <xdr:pic>
      <xdr:nvPicPr>
        <xdr:cNvPr id="0" name="image8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66675</xdr:colOff>
      <xdr:row>7</xdr:row>
      <xdr:rowOff>390525</xdr:rowOff>
    </xdr:from>
    <xdr:ext cx="314325" cy="276225"/>
    <xdr:pic>
      <xdr:nvPicPr>
        <xdr:cNvPr id="0" name="image8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66675</xdr:colOff>
      <xdr:row>8</xdr:row>
      <xdr:rowOff>438150</xdr:rowOff>
    </xdr:from>
    <xdr:ext cx="314325" cy="276225"/>
    <xdr:pic>
      <xdr:nvPicPr>
        <xdr:cNvPr id="0" name="image8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9</xdr:row>
      <xdr:rowOff>447675</xdr:rowOff>
    </xdr:from>
    <xdr:ext cx="314325" cy="276225"/>
    <xdr:pic>
      <xdr:nvPicPr>
        <xdr:cNvPr id="0" name="image8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66675</xdr:colOff>
      <xdr:row>10</xdr:row>
      <xdr:rowOff>457200</xdr:rowOff>
    </xdr:from>
    <xdr:ext cx="314325" cy="276225"/>
    <xdr:pic>
      <xdr:nvPicPr>
        <xdr:cNvPr id="0" name="image8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142875</xdr:colOff>
      <xdr:row>4</xdr:row>
      <xdr:rowOff>504825</xdr:rowOff>
    </xdr:from>
    <xdr:ext cx="1381125" cy="209550"/>
    <xdr:pic>
      <xdr:nvPicPr>
        <xdr:cNvPr id="0" name="image7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95250</xdr:colOff>
      <xdr:row>3</xdr:row>
      <xdr:rowOff>495300</xdr:rowOff>
    </xdr:from>
    <xdr:ext cx="1447800" cy="238125"/>
    <xdr:pic>
      <xdr:nvPicPr>
        <xdr:cNvPr id="0" name="image5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47625</xdr:colOff>
      <xdr:row>4</xdr:row>
      <xdr:rowOff>76200</xdr:rowOff>
    </xdr:from>
    <xdr:ext cx="1381125" cy="647700"/>
    <xdr:pic>
      <xdr:nvPicPr>
        <xdr:cNvPr id="0" name="image1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47625</xdr:colOff>
      <xdr:row>5</xdr:row>
      <xdr:rowOff>819150</xdr:rowOff>
    </xdr:from>
    <xdr:ext cx="1447800" cy="714375"/>
    <xdr:pic>
      <xdr:nvPicPr>
        <xdr:cNvPr id="0" name="image1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47625</xdr:colOff>
      <xdr:row>4</xdr:row>
      <xdr:rowOff>819150</xdr:rowOff>
    </xdr:from>
    <xdr:ext cx="1447800" cy="714375"/>
    <xdr:pic>
      <xdr:nvPicPr>
        <xdr:cNvPr id="0" name="image1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47625</xdr:colOff>
      <xdr:row>6</xdr:row>
      <xdr:rowOff>819150</xdr:rowOff>
    </xdr:from>
    <xdr:ext cx="1447800" cy="714375"/>
    <xdr:pic>
      <xdr:nvPicPr>
        <xdr:cNvPr id="0" name="image1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47625</xdr:colOff>
      <xdr:row>7</xdr:row>
      <xdr:rowOff>819150</xdr:rowOff>
    </xdr:from>
    <xdr:ext cx="1447800" cy="714375"/>
    <xdr:pic>
      <xdr:nvPicPr>
        <xdr:cNvPr id="0" name="image1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47625</xdr:colOff>
      <xdr:row>8</xdr:row>
      <xdr:rowOff>819150</xdr:rowOff>
    </xdr:from>
    <xdr:ext cx="1447800" cy="714375"/>
    <xdr:pic>
      <xdr:nvPicPr>
        <xdr:cNvPr id="0" name="image1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47625</xdr:colOff>
      <xdr:row>10</xdr:row>
      <xdr:rowOff>819150</xdr:rowOff>
    </xdr:from>
    <xdr:ext cx="1447800" cy="714375"/>
    <xdr:pic>
      <xdr:nvPicPr>
        <xdr:cNvPr id="0" name="image1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314325</xdr:colOff>
      <xdr:row>2</xdr:row>
      <xdr:rowOff>809625</xdr:rowOff>
    </xdr:from>
    <xdr:ext cx="438150" cy="400050"/>
    <xdr:pic>
      <xdr:nvPicPr>
        <xdr:cNvPr id="0" name="image4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66675</xdr:colOff>
      <xdr:row>10</xdr:row>
      <xdr:rowOff>95250</xdr:rowOff>
    </xdr:from>
    <xdr:ext cx="295275" cy="276225"/>
    <xdr:pic>
      <xdr:nvPicPr>
        <xdr:cNvPr id="0" name="image6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66675</xdr:colOff>
      <xdr:row>9</xdr:row>
      <xdr:rowOff>76200</xdr:rowOff>
    </xdr:from>
    <xdr:ext cx="295275" cy="276225"/>
    <xdr:pic>
      <xdr:nvPicPr>
        <xdr:cNvPr id="0" name="image6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8</xdr:row>
      <xdr:rowOff>57150</xdr:rowOff>
    </xdr:from>
    <xdr:ext cx="295275" cy="276225"/>
    <xdr:pic>
      <xdr:nvPicPr>
        <xdr:cNvPr id="0" name="image6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7</xdr:row>
      <xdr:rowOff>38100</xdr:rowOff>
    </xdr:from>
    <xdr:ext cx="295275" cy="276225"/>
    <xdr:pic>
      <xdr:nvPicPr>
        <xdr:cNvPr id="0" name="image6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66675</xdr:colOff>
      <xdr:row>6</xdr:row>
      <xdr:rowOff>38100</xdr:rowOff>
    </xdr:from>
    <xdr:ext cx="295275" cy="276225"/>
    <xdr:pic>
      <xdr:nvPicPr>
        <xdr:cNvPr id="0" name="image6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161925</xdr:colOff>
      <xdr:row>2</xdr:row>
      <xdr:rowOff>419100</xdr:rowOff>
    </xdr:from>
    <xdr:ext cx="438150" cy="342900"/>
    <xdr:pic>
      <xdr:nvPicPr>
        <xdr:cNvPr id="0" name="image3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800100</xdr:colOff>
      <xdr:row>2</xdr:row>
      <xdr:rowOff>409575</xdr:rowOff>
    </xdr:from>
    <xdr:ext cx="400050" cy="371475"/>
    <xdr:pic>
      <xdr:nvPicPr>
        <xdr:cNvPr id="0" name="image16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190500</xdr:colOff>
      <xdr:row>2</xdr:row>
      <xdr:rowOff>85725</xdr:rowOff>
    </xdr:from>
    <xdr:ext cx="866775" cy="276225"/>
    <xdr:pic>
      <xdr:nvPicPr>
        <xdr:cNvPr id="0" name="image12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4</xdr:row>
      <xdr:rowOff>409575</xdr:rowOff>
    </xdr:from>
    <xdr:ext cx="304800" cy="276225"/>
    <xdr:pic>
      <xdr:nvPicPr>
        <xdr:cNvPr id="0" name="image8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66675</xdr:colOff>
      <xdr:row>4</xdr:row>
      <xdr:rowOff>76200</xdr:rowOff>
    </xdr:from>
    <xdr:ext cx="295275" cy="276225"/>
    <xdr:pic>
      <xdr:nvPicPr>
        <xdr:cNvPr id="0" name="image10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28575</xdr:colOff>
      <xdr:row>3</xdr:row>
      <xdr:rowOff>200025</xdr:rowOff>
    </xdr:from>
    <xdr:ext cx="400050" cy="371475"/>
    <xdr:pic>
      <xdr:nvPicPr>
        <xdr:cNvPr id="0" name="image10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28575</xdr:colOff>
      <xdr:row>3</xdr:row>
      <xdr:rowOff>200025</xdr:rowOff>
    </xdr:from>
    <xdr:ext cx="400050" cy="371475"/>
    <xdr:pic>
      <xdr:nvPicPr>
        <xdr:cNvPr id="0" name="image10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28575</xdr:colOff>
      <xdr:row>3</xdr:row>
      <xdr:rowOff>200025</xdr:rowOff>
    </xdr:from>
    <xdr:ext cx="400050" cy="371475"/>
    <xdr:pic>
      <xdr:nvPicPr>
        <xdr:cNvPr id="0" name="image10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28575</xdr:colOff>
      <xdr:row>3</xdr:row>
      <xdr:rowOff>200025</xdr:rowOff>
    </xdr:from>
    <xdr:ext cx="400050" cy="371475"/>
    <xdr:pic>
      <xdr:nvPicPr>
        <xdr:cNvPr id="0" name="image10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28575</xdr:colOff>
      <xdr:row>3</xdr:row>
      <xdr:rowOff>200025</xdr:rowOff>
    </xdr:from>
    <xdr:ext cx="400050" cy="371475"/>
    <xdr:pic>
      <xdr:nvPicPr>
        <xdr:cNvPr id="0" name="image10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47625</xdr:colOff>
      <xdr:row>3</xdr:row>
      <xdr:rowOff>76200</xdr:rowOff>
    </xdr:from>
    <xdr:ext cx="1381125" cy="647700"/>
    <xdr:pic>
      <xdr:nvPicPr>
        <xdr:cNvPr id="0" name="image1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</xdr:row>
      <xdr:rowOff>0</xdr:rowOff>
    </xdr:from>
    <xdr:ext cx="1600200" cy="809625"/>
    <xdr:pic>
      <xdr:nvPicPr>
        <xdr:cNvPr id="0" name="image1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3</xdr:row>
      <xdr:rowOff>0</xdr:rowOff>
    </xdr:from>
    <xdr:ext cx="1162050" cy="790575"/>
    <xdr:pic>
      <xdr:nvPicPr>
        <xdr:cNvPr id="0" name="image1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</xdr:row>
      <xdr:rowOff>0</xdr:rowOff>
    </xdr:from>
    <xdr:ext cx="1600200" cy="809625"/>
    <xdr:pic>
      <xdr:nvPicPr>
        <xdr:cNvPr id="0" name="image1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4</xdr:row>
      <xdr:rowOff>0</xdr:rowOff>
    </xdr:from>
    <xdr:ext cx="1162050" cy="790575"/>
    <xdr:pic>
      <xdr:nvPicPr>
        <xdr:cNvPr id="0" name="image1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</xdr:row>
      <xdr:rowOff>0</xdr:rowOff>
    </xdr:from>
    <xdr:ext cx="1600200" cy="809625"/>
    <xdr:pic>
      <xdr:nvPicPr>
        <xdr:cNvPr id="0" name="image14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5</xdr:row>
      <xdr:rowOff>0</xdr:rowOff>
    </xdr:from>
    <xdr:ext cx="1162050" cy="790575"/>
    <xdr:pic>
      <xdr:nvPicPr>
        <xdr:cNvPr id="0" name="image1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</xdr:row>
      <xdr:rowOff>0</xdr:rowOff>
    </xdr:from>
    <xdr:ext cx="1619250" cy="809625"/>
    <xdr:pic>
      <xdr:nvPicPr>
        <xdr:cNvPr id="0" name="image9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6</xdr:row>
      <xdr:rowOff>0</xdr:rowOff>
    </xdr:from>
    <xdr:ext cx="1162050" cy="790575"/>
    <xdr:pic>
      <xdr:nvPicPr>
        <xdr:cNvPr id="0" name="image1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</xdr:row>
      <xdr:rowOff>0</xdr:rowOff>
    </xdr:from>
    <xdr:ext cx="1619250" cy="809625"/>
    <xdr:pic>
      <xdr:nvPicPr>
        <xdr:cNvPr id="0" name="image9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7</xdr:row>
      <xdr:rowOff>0</xdr:rowOff>
    </xdr:from>
    <xdr:ext cx="1162050" cy="790575"/>
    <xdr:pic>
      <xdr:nvPicPr>
        <xdr:cNvPr id="0" name="image1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8</xdr:row>
      <xdr:rowOff>0</xdr:rowOff>
    </xdr:from>
    <xdr:ext cx="1619250" cy="809625"/>
    <xdr:pic>
      <xdr:nvPicPr>
        <xdr:cNvPr id="0" name="image9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8</xdr:row>
      <xdr:rowOff>0</xdr:rowOff>
    </xdr:from>
    <xdr:ext cx="1162050" cy="790575"/>
    <xdr:pic>
      <xdr:nvPicPr>
        <xdr:cNvPr id="0" name="image1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</xdr:row>
      <xdr:rowOff>0</xdr:rowOff>
    </xdr:from>
    <xdr:ext cx="1562100" cy="809625"/>
    <xdr:pic>
      <xdr:nvPicPr>
        <xdr:cNvPr id="0" name="image1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9</xdr:row>
      <xdr:rowOff>0</xdr:rowOff>
    </xdr:from>
    <xdr:ext cx="1162050" cy="790575"/>
    <xdr:pic>
      <xdr:nvPicPr>
        <xdr:cNvPr id="0" name="image1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10</xdr:row>
      <xdr:rowOff>0</xdr:rowOff>
    </xdr:from>
    <xdr:ext cx="1562100" cy="809625"/>
    <xdr:pic>
      <xdr:nvPicPr>
        <xdr:cNvPr id="0" name="image1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10</xdr:row>
      <xdr:rowOff>0</xdr:rowOff>
    </xdr:from>
    <xdr:ext cx="1162050" cy="790575"/>
    <xdr:pic>
      <xdr:nvPicPr>
        <xdr:cNvPr id="0" name="image1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1.43"/>
    <col customWidth="1" min="2" max="2" width="17.14"/>
    <col customWidth="1" min="3" max="3" width="16.14"/>
    <col customWidth="1" min="4" max="5" width="29.14"/>
    <col customWidth="1" min="6" max="6" width="20.71"/>
    <col customWidth="1" min="7" max="7" width="20.57"/>
    <col customWidth="1" min="8" max="8" width="20.29"/>
    <col customWidth="1" min="9" max="9" width="15.71"/>
    <col customWidth="1" min="10" max="10" width="21.57"/>
    <col customWidth="1" min="11" max="11" width="15.71"/>
    <col customWidth="1" min="12" max="12" width="40.86"/>
    <col customWidth="1" min="13" max="13" width="24.86"/>
    <col customWidth="1" min="14" max="14" width="13.71"/>
    <col customWidth="1" min="15" max="15" width="22.57"/>
    <col customWidth="1" min="16" max="16" width="17.71"/>
    <col customWidth="1" min="17" max="17" width="15.14"/>
    <col customWidth="1" min="18" max="19" width="24.43"/>
    <col customWidth="1" min="20" max="20" width="17.43"/>
  </cols>
  <sheetData>
    <row r="1" ht="12.75" customHeight="1">
      <c r="A1" s="1"/>
      <c r="B1" s="2"/>
      <c r="C1" s="3"/>
      <c r="D1" s="3"/>
      <c r="E1" s="3"/>
      <c r="F1" s="4"/>
      <c r="G1" s="4"/>
      <c r="H1" s="4"/>
      <c r="I1" s="4"/>
      <c r="J1" s="4"/>
      <c r="K1" s="4"/>
      <c r="L1" s="5"/>
      <c r="M1" s="4"/>
      <c r="N1" s="4"/>
      <c r="O1" s="4"/>
      <c r="P1" s="4"/>
      <c r="Q1" s="4"/>
      <c r="R1" s="4"/>
      <c r="S1" s="4"/>
      <c r="T1" s="4"/>
    </row>
    <row r="2">
      <c r="A2" s="5"/>
      <c r="B2" s="2"/>
      <c r="C2" s="3"/>
      <c r="D2" s="6" t="s">
        <v>0</v>
      </c>
      <c r="E2" s="7"/>
      <c r="F2" s="8"/>
      <c r="G2" s="8"/>
      <c r="H2" s="9" t="s">
        <v>1</v>
      </c>
      <c r="I2" s="10"/>
      <c r="J2" s="10"/>
      <c r="K2" s="10"/>
      <c r="L2" s="10"/>
      <c r="M2" s="10"/>
      <c r="N2" s="10"/>
      <c r="O2" s="10"/>
      <c r="P2" s="9" t="s">
        <v>2</v>
      </c>
      <c r="Q2" s="10"/>
      <c r="R2" s="10"/>
      <c r="S2" s="10"/>
      <c r="T2" s="11"/>
    </row>
    <row r="3" ht="95.25" customHeight="1">
      <c r="A3" s="12" t="s">
        <v>3</v>
      </c>
      <c r="B3" s="13" t="s">
        <v>4</v>
      </c>
      <c r="C3" s="14" t="s">
        <v>5</v>
      </c>
      <c r="D3" s="14" t="s">
        <v>6</v>
      </c>
      <c r="E3" s="14" t="s">
        <v>7</v>
      </c>
      <c r="F3" s="14" t="s">
        <v>8</v>
      </c>
      <c r="G3" s="15" t="s">
        <v>9</v>
      </c>
      <c r="H3" s="16" t="s">
        <v>10</v>
      </c>
      <c r="I3" s="17" t="s">
        <v>11</v>
      </c>
      <c r="J3" s="18" t="s">
        <v>12</v>
      </c>
      <c r="K3" s="19" t="s">
        <v>13</v>
      </c>
      <c r="L3" s="20" t="s">
        <v>14</v>
      </c>
      <c r="M3" s="21" t="s">
        <v>15</v>
      </c>
      <c r="N3" s="22" t="s">
        <v>16</v>
      </c>
      <c r="O3" s="23" t="s">
        <v>17</v>
      </c>
      <c r="P3" s="17" t="s">
        <v>18</v>
      </c>
      <c r="Q3" s="17" t="s">
        <v>19</v>
      </c>
      <c r="R3" s="17" t="s">
        <v>20</v>
      </c>
      <c r="S3" s="17" t="s">
        <v>21</v>
      </c>
      <c r="T3" s="24" t="s">
        <v>22</v>
      </c>
    </row>
    <row r="4" ht="63.75" customHeight="1">
      <c r="A4" s="25" t="s">
        <v>23</v>
      </c>
      <c r="B4" s="26">
        <v>11.74</v>
      </c>
      <c r="C4" s="27">
        <f t="shared" ref="C4:C12" si="1">B4*1.15</f>
        <v>13.501</v>
      </c>
      <c r="D4" s="28" t="s">
        <v>24</v>
      </c>
      <c r="E4" s="29">
        <f>C4-(B4*10%)</f>
        <v>12.327</v>
      </c>
      <c r="F4" s="30" t="s">
        <v>25</v>
      </c>
      <c r="G4" s="31" t="s">
        <v>26</v>
      </c>
      <c r="H4" s="32" t="s">
        <v>27</v>
      </c>
      <c r="I4" s="33" t="s">
        <v>28</v>
      </c>
      <c r="J4" s="34" t="s">
        <v>29</v>
      </c>
      <c r="K4" s="35" t="s">
        <v>30</v>
      </c>
      <c r="L4" s="36" t="s">
        <v>31</v>
      </c>
      <c r="M4" s="37" t="s">
        <v>30</v>
      </c>
      <c r="N4" s="38" t="s">
        <v>32</v>
      </c>
      <c r="O4" s="39" t="s">
        <v>33</v>
      </c>
      <c r="P4" s="40" t="s">
        <v>34</v>
      </c>
      <c r="Q4" s="41" t="s">
        <v>35</v>
      </c>
      <c r="R4" s="36" t="s">
        <v>31</v>
      </c>
      <c r="S4" s="42"/>
      <c r="T4" s="43"/>
    </row>
    <row r="5" ht="63.75" customHeight="1">
      <c r="A5" s="25" t="s">
        <v>36</v>
      </c>
      <c r="B5" s="26">
        <v>13.5</v>
      </c>
      <c r="C5" s="27">
        <f t="shared" si="1"/>
        <v>15.525</v>
      </c>
      <c r="D5" s="28" t="s">
        <v>37</v>
      </c>
      <c r="E5" s="29">
        <f t="shared" ref="E5:E12" si="2">C5-(B5*20%)</f>
        <v>12.825</v>
      </c>
      <c r="F5" s="30" t="s">
        <v>25</v>
      </c>
      <c r="G5" s="31" t="s">
        <v>26</v>
      </c>
      <c r="H5" s="32" t="s">
        <v>27</v>
      </c>
      <c r="I5" s="33" t="s">
        <v>28</v>
      </c>
      <c r="J5" s="34" t="s">
        <v>38</v>
      </c>
      <c r="K5" s="35" t="s">
        <v>30</v>
      </c>
      <c r="L5" s="36" t="s">
        <v>31</v>
      </c>
      <c r="M5" s="37" t="s">
        <v>30</v>
      </c>
      <c r="N5" s="38" t="s">
        <v>39</v>
      </c>
      <c r="O5" s="44" t="s">
        <v>40</v>
      </c>
      <c r="P5" s="40" t="s">
        <v>41</v>
      </c>
      <c r="Q5" s="45" t="s">
        <v>35</v>
      </c>
      <c r="R5" s="42"/>
      <c r="S5" s="42"/>
      <c r="T5" s="43"/>
    </row>
    <row r="6" ht="63.75" customHeight="1">
      <c r="A6" s="25" t="s">
        <v>42</v>
      </c>
      <c r="B6" s="26" t="s">
        <v>43</v>
      </c>
      <c r="C6" s="27">
        <f t="shared" si="1"/>
        <v>18.3885</v>
      </c>
      <c r="D6" s="28" t="s">
        <v>37</v>
      </c>
      <c r="E6" s="29">
        <f t="shared" si="2"/>
        <v>15.1905</v>
      </c>
      <c r="F6" s="30" t="s">
        <v>25</v>
      </c>
      <c r="G6" s="31" t="s">
        <v>26</v>
      </c>
      <c r="H6" s="32" t="s">
        <v>44</v>
      </c>
      <c r="I6" s="33" t="s">
        <v>28</v>
      </c>
      <c r="J6" s="34" t="s">
        <v>38</v>
      </c>
      <c r="K6" s="35" t="s">
        <v>30</v>
      </c>
      <c r="L6" s="36" t="s">
        <v>31</v>
      </c>
      <c r="M6" s="46" t="s">
        <v>45</v>
      </c>
      <c r="N6" s="47" t="s">
        <v>46</v>
      </c>
      <c r="O6" s="44" t="s">
        <v>31</v>
      </c>
      <c r="P6" s="40" t="s">
        <v>47</v>
      </c>
      <c r="Q6" s="45" t="s">
        <v>35</v>
      </c>
      <c r="R6" s="42"/>
      <c r="S6" s="42"/>
      <c r="T6" s="43"/>
    </row>
    <row r="7" ht="63.75" customHeight="1">
      <c r="A7" s="25" t="s">
        <v>48</v>
      </c>
      <c r="B7" s="26" t="s">
        <v>49</v>
      </c>
      <c r="C7" s="27">
        <f t="shared" si="1"/>
        <v>21.1485</v>
      </c>
      <c r="D7" s="28" t="s">
        <v>37</v>
      </c>
      <c r="E7" s="29">
        <f t="shared" si="2"/>
        <v>17.4705</v>
      </c>
      <c r="F7" s="30" t="s">
        <v>25</v>
      </c>
      <c r="G7" s="31" t="s">
        <v>26</v>
      </c>
      <c r="H7" s="32" t="s">
        <v>50</v>
      </c>
      <c r="I7" s="33" t="s">
        <v>51</v>
      </c>
      <c r="J7" s="34" t="s">
        <v>52</v>
      </c>
      <c r="K7" s="35" t="s">
        <v>30</v>
      </c>
      <c r="L7" s="36" t="s">
        <v>31</v>
      </c>
      <c r="M7" s="46" t="s">
        <v>45</v>
      </c>
      <c r="N7" s="38" t="s">
        <v>46</v>
      </c>
      <c r="O7" s="44" t="s">
        <v>31</v>
      </c>
      <c r="P7" s="40" t="s">
        <v>53</v>
      </c>
      <c r="Q7" s="45" t="s">
        <v>35</v>
      </c>
      <c r="R7" s="42"/>
      <c r="S7" s="42"/>
      <c r="T7" s="43"/>
    </row>
    <row r="8" ht="63.75" customHeight="1">
      <c r="A8" s="25" t="s">
        <v>54</v>
      </c>
      <c r="B8" s="26" t="s">
        <v>55</v>
      </c>
      <c r="C8" s="27">
        <f t="shared" si="1"/>
        <v>26.8985</v>
      </c>
      <c r="D8" s="28" t="s">
        <v>37</v>
      </c>
      <c r="E8" s="29">
        <f t="shared" si="2"/>
        <v>22.2205</v>
      </c>
      <c r="F8" s="30" t="s">
        <v>25</v>
      </c>
      <c r="G8" s="31" t="s">
        <v>26</v>
      </c>
      <c r="H8" s="48" t="s">
        <v>56</v>
      </c>
      <c r="I8" s="33" t="s">
        <v>51</v>
      </c>
      <c r="J8" s="34" t="s">
        <v>57</v>
      </c>
      <c r="K8" s="35" t="s">
        <v>30</v>
      </c>
      <c r="L8" s="36" t="s">
        <v>31</v>
      </c>
      <c r="M8" s="46" t="s">
        <v>45</v>
      </c>
      <c r="N8" s="38" t="s">
        <v>58</v>
      </c>
      <c r="O8" s="44" t="s">
        <v>31</v>
      </c>
      <c r="P8" s="40" t="s">
        <v>59</v>
      </c>
      <c r="Q8" s="45" t="s">
        <v>35</v>
      </c>
      <c r="R8" s="42"/>
      <c r="S8" s="42"/>
      <c r="T8" s="43"/>
    </row>
    <row r="9" ht="63.75" customHeight="1">
      <c r="A9" s="25" t="s">
        <v>60</v>
      </c>
      <c r="B9" s="26" t="s">
        <v>61</v>
      </c>
      <c r="C9" s="27">
        <f t="shared" si="1"/>
        <v>31.6135</v>
      </c>
      <c r="D9" s="28" t="s">
        <v>37</v>
      </c>
      <c r="E9" s="29">
        <f t="shared" si="2"/>
        <v>26.1155</v>
      </c>
      <c r="F9" s="30" t="s">
        <v>25</v>
      </c>
      <c r="G9" s="31" t="s">
        <v>26</v>
      </c>
      <c r="H9" s="48" t="s">
        <v>62</v>
      </c>
      <c r="I9" s="33" t="s">
        <v>51</v>
      </c>
      <c r="J9" s="34" t="s">
        <v>63</v>
      </c>
      <c r="K9" s="35" t="s">
        <v>30</v>
      </c>
      <c r="L9" s="49" t="s">
        <v>64</v>
      </c>
      <c r="M9" s="46" t="s">
        <v>45</v>
      </c>
      <c r="N9" s="38" t="s">
        <v>65</v>
      </c>
      <c r="O9" s="44" t="s">
        <v>31</v>
      </c>
      <c r="P9" s="50" t="s">
        <v>66</v>
      </c>
      <c r="Q9" s="45" t="s">
        <v>35</v>
      </c>
      <c r="R9" s="42"/>
      <c r="S9" s="42"/>
      <c r="T9" s="43"/>
    </row>
    <row r="10" ht="63.75" customHeight="1">
      <c r="A10" s="25" t="s">
        <v>67</v>
      </c>
      <c r="B10" s="26" t="s">
        <v>68</v>
      </c>
      <c r="C10" s="27">
        <f t="shared" si="1"/>
        <v>39.0885</v>
      </c>
      <c r="D10" s="28" t="s">
        <v>37</v>
      </c>
      <c r="E10" s="29">
        <f t="shared" si="2"/>
        <v>32.2905</v>
      </c>
      <c r="F10" s="30" t="s">
        <v>25</v>
      </c>
      <c r="G10" s="31" t="s">
        <v>26</v>
      </c>
      <c r="H10" s="51" t="s">
        <v>69</v>
      </c>
      <c r="I10" s="33" t="s">
        <v>51</v>
      </c>
      <c r="J10" s="34" t="s">
        <v>70</v>
      </c>
      <c r="K10" s="35" t="s">
        <v>30</v>
      </c>
      <c r="L10" s="49" t="s">
        <v>71</v>
      </c>
      <c r="M10" s="46" t="s">
        <v>45</v>
      </c>
      <c r="N10" s="38" t="s">
        <v>72</v>
      </c>
      <c r="O10" s="44" t="s">
        <v>31</v>
      </c>
      <c r="P10" s="50" t="s">
        <v>73</v>
      </c>
      <c r="Q10" s="45" t="s">
        <v>35</v>
      </c>
      <c r="R10" s="42"/>
      <c r="S10" s="42"/>
      <c r="T10" s="43"/>
    </row>
    <row r="11" ht="63.75" customHeight="1">
      <c r="A11" s="25" t="s">
        <v>74</v>
      </c>
      <c r="B11" s="26" t="s">
        <v>75</v>
      </c>
      <c r="C11" s="27">
        <f t="shared" si="1"/>
        <v>43.6885</v>
      </c>
      <c r="D11" s="28" t="s">
        <v>37</v>
      </c>
      <c r="E11" s="29">
        <f t="shared" si="2"/>
        <v>36.0905</v>
      </c>
      <c r="F11" s="30" t="s">
        <v>25</v>
      </c>
      <c r="G11" s="31" t="s">
        <v>26</v>
      </c>
      <c r="H11" s="51" t="s">
        <v>76</v>
      </c>
      <c r="I11" s="33" t="s">
        <v>51</v>
      </c>
      <c r="J11" s="34" t="s">
        <v>77</v>
      </c>
      <c r="K11" s="35" t="s">
        <v>30</v>
      </c>
      <c r="L11" s="36" t="s">
        <v>31</v>
      </c>
      <c r="M11" s="46" t="s">
        <v>45</v>
      </c>
      <c r="N11" s="38" t="s">
        <v>78</v>
      </c>
      <c r="O11" s="44" t="s">
        <v>31</v>
      </c>
      <c r="P11" s="50" t="s">
        <v>79</v>
      </c>
      <c r="Q11" s="45" t="s">
        <v>35</v>
      </c>
      <c r="R11" s="42"/>
      <c r="S11" s="42"/>
      <c r="T11" s="43"/>
    </row>
    <row r="12" ht="63.75" customHeight="1">
      <c r="A12" s="25" t="s">
        <v>80</v>
      </c>
      <c r="B12" s="26" t="s">
        <v>81</v>
      </c>
      <c r="C12" s="27">
        <f t="shared" si="1"/>
        <v>68.9885</v>
      </c>
      <c r="D12" s="28" t="s">
        <v>37</v>
      </c>
      <c r="E12" s="29">
        <f t="shared" si="2"/>
        <v>56.9905</v>
      </c>
      <c r="F12" s="30" t="s">
        <v>25</v>
      </c>
      <c r="G12" s="31" t="s">
        <v>26</v>
      </c>
      <c r="H12" s="51" t="s">
        <v>82</v>
      </c>
      <c r="I12" s="33" t="s">
        <v>51</v>
      </c>
      <c r="J12" s="34" t="s">
        <v>83</v>
      </c>
      <c r="K12" s="35" t="s">
        <v>30</v>
      </c>
      <c r="L12" s="49" t="s">
        <v>84</v>
      </c>
      <c r="M12" s="46" t="s">
        <v>45</v>
      </c>
      <c r="N12" s="38" t="s">
        <v>85</v>
      </c>
      <c r="O12" s="44" t="s">
        <v>31</v>
      </c>
      <c r="P12" s="50" t="s">
        <v>86</v>
      </c>
      <c r="Q12" s="45" t="s">
        <v>35</v>
      </c>
      <c r="R12" s="42"/>
      <c r="S12" s="42"/>
      <c r="T12" s="43"/>
    </row>
  </sheetData>
  <mergeCells count="3">
    <mergeCell ref="D2:E2"/>
    <mergeCell ref="H2:O2"/>
    <mergeCell ref="P2:T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1.43"/>
    <col customWidth="1" min="2" max="2" width="17.14"/>
    <col customWidth="1" min="3" max="3" width="16.14"/>
    <col customWidth="1" min="4" max="5" width="29.14"/>
    <col customWidth="1" min="6" max="6" width="20.71"/>
    <col customWidth="1" min="7" max="7" width="20.29"/>
    <col customWidth="1" min="8" max="8" width="15.71"/>
    <col customWidth="1" min="9" max="9" width="21.57"/>
    <col customWidth="1" min="10" max="10" width="15.71"/>
    <col customWidth="1" min="11" max="11" width="40.86"/>
    <col customWidth="1" min="12" max="12" width="15.43"/>
    <col customWidth="1" min="13" max="13" width="13.71"/>
    <col customWidth="1" min="14" max="14" width="22.57"/>
    <col customWidth="1" min="15" max="15" width="17.71"/>
    <col customWidth="1" min="16" max="16" width="15.14"/>
    <col customWidth="1" min="17" max="18" width="24.43"/>
    <col customWidth="1" min="19" max="19" width="17.43"/>
  </cols>
  <sheetData>
    <row r="1" ht="12.75" customHeight="1">
      <c r="A1" s="1"/>
      <c r="B1" s="2"/>
      <c r="C1" s="3"/>
      <c r="D1" s="3"/>
      <c r="E1" s="3"/>
      <c r="F1" s="4"/>
      <c r="G1" s="4"/>
      <c r="H1" s="4"/>
      <c r="I1" s="4"/>
      <c r="J1" s="4"/>
      <c r="K1" s="5"/>
      <c r="L1" s="4"/>
      <c r="M1" s="4"/>
      <c r="N1" s="4"/>
      <c r="O1" s="4"/>
      <c r="P1" s="4"/>
      <c r="Q1" s="4"/>
      <c r="R1" s="4"/>
      <c r="S1" s="4"/>
    </row>
    <row r="2">
      <c r="A2" s="5"/>
      <c r="B2" s="2"/>
      <c r="C2" s="3"/>
      <c r="D2" s="6" t="s">
        <v>87</v>
      </c>
      <c r="E2" s="7"/>
      <c r="F2" s="8"/>
      <c r="G2" s="9" t="s">
        <v>1</v>
      </c>
      <c r="H2" s="10"/>
      <c r="I2" s="10"/>
      <c r="J2" s="10"/>
      <c r="K2" s="10"/>
      <c r="L2" s="10"/>
      <c r="M2" s="10"/>
      <c r="N2" s="10"/>
      <c r="O2" s="9" t="s">
        <v>2</v>
      </c>
      <c r="P2" s="10"/>
      <c r="Q2" s="10"/>
      <c r="R2" s="10"/>
      <c r="S2" s="11"/>
    </row>
    <row r="3" ht="95.25" customHeight="1">
      <c r="A3" s="12" t="s">
        <v>3</v>
      </c>
      <c r="B3" s="13" t="s">
        <v>4</v>
      </c>
      <c r="C3" s="14" t="s">
        <v>5</v>
      </c>
      <c r="D3" s="14" t="s">
        <v>88</v>
      </c>
      <c r="E3" s="14" t="s">
        <v>7</v>
      </c>
      <c r="F3" s="14" t="s">
        <v>8</v>
      </c>
      <c r="G3" s="16" t="s">
        <v>10</v>
      </c>
      <c r="H3" s="17" t="s">
        <v>11</v>
      </c>
      <c r="I3" s="18" t="s">
        <v>12</v>
      </c>
      <c r="J3" s="19" t="s">
        <v>13</v>
      </c>
      <c r="K3" s="20" t="s">
        <v>14</v>
      </c>
      <c r="L3" s="21" t="s">
        <v>15</v>
      </c>
      <c r="M3" s="22" t="s">
        <v>16</v>
      </c>
      <c r="N3" s="23" t="s">
        <v>17</v>
      </c>
      <c r="O3" s="17" t="s">
        <v>89</v>
      </c>
      <c r="P3" s="17" t="s">
        <v>19</v>
      </c>
      <c r="Q3" s="17" t="s">
        <v>20</v>
      </c>
      <c r="R3" s="17" t="s">
        <v>21</v>
      </c>
      <c r="S3" s="24" t="s">
        <v>22</v>
      </c>
    </row>
    <row r="4" ht="63.75" customHeight="1">
      <c r="A4" s="25" t="s">
        <v>36</v>
      </c>
      <c r="B4" s="26">
        <v>13.5</v>
      </c>
      <c r="C4" s="27">
        <f t="shared" ref="C4:C11" si="1">B4*1.15</f>
        <v>15.525</v>
      </c>
      <c r="D4" s="28" t="s">
        <v>90</v>
      </c>
      <c r="E4" s="29">
        <f>C4-(B4*10%)</f>
        <v>14.175</v>
      </c>
      <c r="F4" s="30" t="s">
        <v>25</v>
      </c>
      <c r="G4" s="32" t="s">
        <v>27</v>
      </c>
      <c r="H4" s="33" t="s">
        <v>28</v>
      </c>
      <c r="I4" s="34" t="s">
        <v>38</v>
      </c>
      <c r="J4" s="35" t="s">
        <v>30</v>
      </c>
      <c r="K4" s="36" t="s">
        <v>31</v>
      </c>
      <c r="L4" s="37" t="s">
        <v>30</v>
      </c>
      <c r="M4" s="38" t="s">
        <v>39</v>
      </c>
      <c r="N4" s="44" t="s">
        <v>40</v>
      </c>
      <c r="O4" s="40" t="s">
        <v>91</v>
      </c>
      <c r="P4" s="45" t="s">
        <v>35</v>
      </c>
      <c r="Q4" s="42"/>
      <c r="R4" s="42"/>
      <c r="S4" s="43"/>
    </row>
    <row r="5" ht="63.75" customHeight="1">
      <c r="A5" s="25" t="s">
        <v>42</v>
      </c>
      <c r="B5" s="26" t="s">
        <v>43</v>
      </c>
      <c r="C5" s="27">
        <f t="shared" si="1"/>
        <v>18.3885</v>
      </c>
      <c r="D5" s="28" t="s">
        <v>92</v>
      </c>
      <c r="E5" s="29">
        <f t="shared" ref="E5:E7" si="2">C5-(B5*15%)</f>
        <v>15.99</v>
      </c>
      <c r="F5" s="30" t="s">
        <v>25</v>
      </c>
      <c r="G5" s="32" t="s">
        <v>44</v>
      </c>
      <c r="H5" s="33" t="s">
        <v>28</v>
      </c>
      <c r="I5" s="34" t="s">
        <v>38</v>
      </c>
      <c r="J5" s="35" t="s">
        <v>30</v>
      </c>
      <c r="K5" s="36" t="s">
        <v>31</v>
      </c>
      <c r="L5" s="46" t="s">
        <v>93</v>
      </c>
      <c r="M5" s="47" t="s">
        <v>46</v>
      </c>
      <c r="N5" s="44" t="s">
        <v>31</v>
      </c>
      <c r="O5" s="40" t="s">
        <v>94</v>
      </c>
      <c r="P5" s="45" t="s">
        <v>35</v>
      </c>
      <c r="Q5" s="42"/>
      <c r="R5" s="42"/>
      <c r="S5" s="43"/>
    </row>
    <row r="6" ht="63.75" customHeight="1">
      <c r="A6" s="25" t="s">
        <v>48</v>
      </c>
      <c r="B6" s="26" t="s">
        <v>49</v>
      </c>
      <c r="C6" s="27">
        <f t="shared" si="1"/>
        <v>21.1485</v>
      </c>
      <c r="D6" s="28" t="s">
        <v>92</v>
      </c>
      <c r="E6" s="29">
        <f t="shared" si="2"/>
        <v>18.39</v>
      </c>
      <c r="F6" s="30" t="s">
        <v>25</v>
      </c>
      <c r="G6" s="32" t="s">
        <v>50</v>
      </c>
      <c r="H6" s="33" t="s">
        <v>51</v>
      </c>
      <c r="I6" s="34" t="s">
        <v>52</v>
      </c>
      <c r="J6" s="35" t="s">
        <v>30</v>
      </c>
      <c r="K6" s="36" t="s">
        <v>31</v>
      </c>
      <c r="L6" s="46" t="s">
        <v>93</v>
      </c>
      <c r="M6" s="38" t="s">
        <v>46</v>
      </c>
      <c r="N6" s="44" t="s">
        <v>31</v>
      </c>
      <c r="O6" s="40" t="s">
        <v>95</v>
      </c>
      <c r="P6" s="45" t="s">
        <v>35</v>
      </c>
      <c r="Q6" s="42"/>
      <c r="R6" s="42"/>
      <c r="S6" s="43"/>
    </row>
    <row r="7" ht="63.75" customHeight="1">
      <c r="A7" s="25" t="s">
        <v>54</v>
      </c>
      <c r="B7" s="26" t="s">
        <v>55</v>
      </c>
      <c r="C7" s="27">
        <f t="shared" si="1"/>
        <v>26.8985</v>
      </c>
      <c r="D7" s="28" t="s">
        <v>92</v>
      </c>
      <c r="E7" s="29">
        <f t="shared" si="2"/>
        <v>23.39</v>
      </c>
      <c r="F7" s="30" t="s">
        <v>25</v>
      </c>
      <c r="G7" s="48" t="s">
        <v>56</v>
      </c>
      <c r="H7" s="33" t="s">
        <v>51</v>
      </c>
      <c r="I7" s="34" t="s">
        <v>57</v>
      </c>
      <c r="J7" s="35" t="s">
        <v>30</v>
      </c>
      <c r="K7" s="36" t="s">
        <v>31</v>
      </c>
      <c r="L7" s="46" t="s">
        <v>93</v>
      </c>
      <c r="M7" s="38" t="s">
        <v>58</v>
      </c>
      <c r="N7" s="44" t="s">
        <v>31</v>
      </c>
      <c r="O7" s="40" t="s">
        <v>96</v>
      </c>
      <c r="P7" s="45" t="s">
        <v>35</v>
      </c>
      <c r="Q7" s="42"/>
      <c r="R7" s="42"/>
      <c r="S7" s="43"/>
    </row>
    <row r="8" ht="63.75" customHeight="1">
      <c r="A8" s="25" t="s">
        <v>60</v>
      </c>
      <c r="B8" s="26" t="s">
        <v>61</v>
      </c>
      <c r="C8" s="27">
        <f t="shared" si="1"/>
        <v>31.6135</v>
      </c>
      <c r="D8" s="28" t="s">
        <v>97</v>
      </c>
      <c r="E8" s="29">
        <f t="shared" ref="E8:E11" si="3">C8-(B8*20%)</f>
        <v>26.1155</v>
      </c>
      <c r="F8" s="30" t="s">
        <v>25</v>
      </c>
      <c r="G8" s="48" t="s">
        <v>62</v>
      </c>
      <c r="H8" s="33" t="s">
        <v>51</v>
      </c>
      <c r="I8" s="34" t="s">
        <v>63</v>
      </c>
      <c r="J8" s="35" t="s">
        <v>30</v>
      </c>
      <c r="K8" s="49" t="s">
        <v>64</v>
      </c>
      <c r="L8" s="46" t="s">
        <v>93</v>
      </c>
      <c r="M8" s="38" t="s">
        <v>65</v>
      </c>
      <c r="N8" s="44" t="s">
        <v>31</v>
      </c>
      <c r="O8" s="50" t="s">
        <v>98</v>
      </c>
      <c r="P8" s="45" t="s">
        <v>35</v>
      </c>
      <c r="Q8" s="42"/>
      <c r="R8" s="42"/>
      <c r="S8" s="43"/>
    </row>
    <row r="9" ht="63.75" customHeight="1">
      <c r="A9" s="25" t="s">
        <v>67</v>
      </c>
      <c r="B9" s="26" t="s">
        <v>68</v>
      </c>
      <c r="C9" s="27">
        <f t="shared" si="1"/>
        <v>39.0885</v>
      </c>
      <c r="D9" s="28" t="s">
        <v>97</v>
      </c>
      <c r="E9" s="29">
        <f t="shared" si="3"/>
        <v>32.2905</v>
      </c>
      <c r="F9" s="30" t="s">
        <v>25</v>
      </c>
      <c r="G9" s="51" t="s">
        <v>69</v>
      </c>
      <c r="H9" s="33" t="s">
        <v>51</v>
      </c>
      <c r="I9" s="34" t="s">
        <v>70</v>
      </c>
      <c r="J9" s="35" t="s">
        <v>30</v>
      </c>
      <c r="K9" s="49" t="s">
        <v>71</v>
      </c>
      <c r="L9" s="46" t="s">
        <v>93</v>
      </c>
      <c r="M9" s="38" t="s">
        <v>72</v>
      </c>
      <c r="N9" s="44" t="s">
        <v>31</v>
      </c>
      <c r="O9" s="50" t="s">
        <v>99</v>
      </c>
      <c r="P9" s="45" t="s">
        <v>35</v>
      </c>
      <c r="Q9" s="42"/>
      <c r="R9" s="42"/>
      <c r="S9" s="43"/>
    </row>
    <row r="10" ht="63.75" customHeight="1">
      <c r="A10" s="25" t="s">
        <v>74</v>
      </c>
      <c r="B10" s="26" t="s">
        <v>75</v>
      </c>
      <c r="C10" s="27">
        <f t="shared" si="1"/>
        <v>43.6885</v>
      </c>
      <c r="D10" s="28" t="s">
        <v>97</v>
      </c>
      <c r="E10" s="29">
        <f t="shared" si="3"/>
        <v>36.0905</v>
      </c>
      <c r="F10" s="30" t="s">
        <v>25</v>
      </c>
      <c r="G10" s="51" t="s">
        <v>76</v>
      </c>
      <c r="H10" s="33" t="s">
        <v>51</v>
      </c>
      <c r="I10" s="34" t="s">
        <v>77</v>
      </c>
      <c r="J10" s="35" t="s">
        <v>30</v>
      </c>
      <c r="K10" s="36" t="s">
        <v>31</v>
      </c>
      <c r="L10" s="46" t="s">
        <v>93</v>
      </c>
      <c r="M10" s="38" t="s">
        <v>78</v>
      </c>
      <c r="N10" s="44" t="s">
        <v>31</v>
      </c>
      <c r="O10" s="50" t="s">
        <v>100</v>
      </c>
      <c r="P10" s="45" t="s">
        <v>35</v>
      </c>
      <c r="Q10" s="42"/>
      <c r="R10" s="42"/>
      <c r="S10" s="43"/>
    </row>
    <row r="11" ht="63.75" customHeight="1">
      <c r="A11" s="25" t="s">
        <v>80</v>
      </c>
      <c r="B11" s="26" t="s">
        <v>81</v>
      </c>
      <c r="C11" s="27">
        <f t="shared" si="1"/>
        <v>68.9885</v>
      </c>
      <c r="D11" s="28" t="s">
        <v>97</v>
      </c>
      <c r="E11" s="29">
        <f t="shared" si="3"/>
        <v>56.9905</v>
      </c>
      <c r="F11" s="30" t="s">
        <v>25</v>
      </c>
      <c r="G11" s="51" t="s">
        <v>82</v>
      </c>
      <c r="H11" s="33" t="s">
        <v>51</v>
      </c>
      <c r="I11" s="34" t="s">
        <v>83</v>
      </c>
      <c r="J11" s="35" t="s">
        <v>30</v>
      </c>
      <c r="K11" s="49" t="s">
        <v>84</v>
      </c>
      <c r="L11" s="46" t="s">
        <v>93</v>
      </c>
      <c r="M11" s="38" t="s">
        <v>85</v>
      </c>
      <c r="N11" s="44" t="s">
        <v>31</v>
      </c>
      <c r="O11" s="50" t="s">
        <v>101</v>
      </c>
      <c r="P11" s="45" t="s">
        <v>35</v>
      </c>
      <c r="Q11" s="42"/>
      <c r="R11" s="42"/>
      <c r="S11" s="43"/>
    </row>
  </sheetData>
  <mergeCells count="3">
    <mergeCell ref="D2:E2"/>
    <mergeCell ref="G2:N2"/>
    <mergeCell ref="O2:S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