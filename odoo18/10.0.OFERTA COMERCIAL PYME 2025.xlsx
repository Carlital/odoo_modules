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ATO RUC NATURAL" sheetId="1" r:id="rId4"/>
    <sheet state="visible" name="GUIA DE APOYO RUC NATURAL" sheetId="2" r:id="rId5"/>
    <sheet state="visible" name="CONTRATO RUC JURIDICO" sheetId="3" r:id="rId6"/>
    <sheet state="visible" name="GUIA DE APOYO RUC JURIDICO" sheetId="4" r:id="rId7"/>
    <sheet state="visible" name="PREGUNTAS FRECUENTES" sheetId="5" r:id="rId8"/>
  </sheets>
  <definedNames/>
  <calcPr/>
</workbook>
</file>

<file path=xl/sharedStrings.xml><?xml version="1.0" encoding="utf-8"?>
<sst xmlns="http://schemas.openxmlformats.org/spreadsheetml/2006/main" count="290" uniqueCount="127">
  <si>
    <t>DATOS</t>
  </si>
  <si>
    <t>MINUTOS</t>
  </si>
  <si>
    <t>PLAN</t>
  </si>
  <si>
    <t>TARIFA BASICA</t>
  </si>
  <si>
    <t>TARIFA BASICA CON IMPUESTOS</t>
  </si>
  <si>
    <t xml:space="preserve">OFERTA DESCUENTOS
</t>
  </si>
  <si>
    <t>VALOR A PAGAR CON DESCUENTO</t>
  </si>
  <si>
    <t>BENEFICIOS EXCLUSIVO MOVISTAR</t>
  </si>
  <si>
    <t>BENEFICIOS ADICIONALES</t>
  </si>
  <si>
    <t>BENEFICIOS POR PORTABILIDAD</t>
  </si>
  <si>
    <t>TOTAL GB</t>
  </si>
  <si>
    <t>NAVEGACION
LIBRE</t>
  </si>
  <si>
    <t>PLATAFORMAS STREAMING</t>
  </si>
  <si>
    <t>SUSCRIPCIONES</t>
  </si>
  <si>
    <t>REDES SOCIALES</t>
  </si>
  <si>
    <t>WHATSAPP</t>
  </si>
  <si>
    <t>COMPONENTE INTERNACIONAL</t>
  </si>
  <si>
    <t>OFERTA ESPECIAL       X                                                                PORTABILIDAD</t>
  </si>
  <si>
    <t>MAS MEGAS
MAS MINUTOS</t>
  </si>
  <si>
    <r>
      <rPr>
        <rFont val="Calibri"/>
        <b/>
        <color rgb="FFFFFFFF"/>
        <sz val="15.0"/>
      </rPr>
      <t xml:space="preserve">MINUTOS INCLUIDOS               </t>
    </r>
    <r>
      <rPr>
        <rFont val="Calibri"/>
        <b/>
        <color rgb="FFFFFF00"/>
        <sz val="15.0"/>
      </rPr>
      <t xml:space="preserve"> (OTRAS OP. MOVILES)</t>
    </r>
  </si>
  <si>
    <t>LLAMADAS MOVISTAR</t>
  </si>
  <si>
    <t>MUNDO</t>
  </si>
  <si>
    <t>SMS TODO DESTINO</t>
  </si>
  <si>
    <r>
      <rPr>
        <rFont val="Calibri"/>
        <b/>
        <color rgb="FFFFFFFF"/>
        <sz val="15.0"/>
      </rPr>
      <t xml:space="preserve">FAMILIA Y AMIGOS FULL     </t>
    </r>
    <r>
      <rPr>
        <rFont val="Calibri"/>
        <b/>
        <color rgb="FFFFFF00"/>
        <sz val="15.0"/>
      </rPr>
      <t xml:space="preserve"> (TITULAR + 4 AMIG@S)     *444</t>
    </r>
  </si>
  <si>
    <t>MOVISTAR EMPRESAS BASIC PLUS</t>
  </si>
  <si>
    <t>20% DSCTO. x 3 MESES</t>
  </si>
  <si>
    <t>CLUB MOVISTAR</t>
  </si>
  <si>
    <t>LLAMADAS ILIMITADAS: PORTABILIDAD DESDE 3 LINEAS 
ALTA NUEVA DESDE 5 LINEAS</t>
  </si>
  <si>
    <t>2 GB x 24 MESES</t>
  </si>
  <si>
    <t>23 GB</t>
  </si>
  <si>
    <t>10GB</t>
  </si>
  <si>
    <t xml:space="preserve">4 GB     </t>
  </si>
  <si>
    <t>N/A</t>
  </si>
  <si>
    <t>5GB</t>
  </si>
  <si>
    <t>GRATIS</t>
  </si>
  <si>
    <t>200 MINUTOS</t>
  </si>
  <si>
    <t>ILIMITADOS</t>
  </si>
  <si>
    <t>MOVISTAR EMPRESAS IRON PLUS</t>
  </si>
  <si>
    <t>LLAMADAS ILIMITADAS: PORTABILIDAD DESDE 1 LINEA 
ALTA NUEVA DESDE 3 LINEAS</t>
  </si>
  <si>
    <t>31 GB</t>
  </si>
  <si>
    <t xml:space="preserve">13 GB </t>
  </si>
  <si>
    <t xml:space="preserve">5 GB     </t>
  </si>
  <si>
    <t>8GB</t>
  </si>
  <si>
    <t>NAVEGACION 
LIBRE</t>
  </si>
  <si>
    <r>
      <rPr>
        <rFont val="Montserrat"/>
        <b/>
        <color rgb="FFFFFFFF"/>
        <sz val="11.0"/>
      </rPr>
      <t>350</t>
    </r>
    <r>
      <rPr>
        <rFont val="Montserrat"/>
        <b/>
        <color rgb="FFFFFFFF"/>
        <sz val="11.0"/>
      </rPr>
      <t xml:space="preserve"> MINUTOS</t>
    </r>
  </si>
  <si>
    <t>MOVISTAR EMPRESAS BRONZE PLUS</t>
  </si>
  <si>
    <t>30% DSCTO. x 3 MESES</t>
  </si>
  <si>
    <t>LLAMADAS ILIMITADAS: PORTABILIDAD Y ALTA NUEVA DESDE 1 LINEA 
250 GB ALMACENAMIENTO EN LA NUBE</t>
  </si>
  <si>
    <t>26 GB</t>
  </si>
  <si>
    <t xml:space="preserve">15 GB </t>
  </si>
  <si>
    <t xml:space="preserve">6 GB     </t>
  </si>
  <si>
    <t>LIBRES</t>
  </si>
  <si>
    <r>
      <rPr>
        <rFont val="Montserrat"/>
        <b/>
        <color rgb="FFFFFFFF"/>
        <sz val="11.0"/>
      </rPr>
      <t>400</t>
    </r>
    <r>
      <rPr>
        <rFont val="Montserrat"/>
        <b/>
        <color rgb="FFFFFFFF"/>
        <sz val="11.0"/>
      </rPr>
      <t xml:space="preserve"> MINUTOS</t>
    </r>
  </si>
  <si>
    <t>MOVISTAR EMPRESAS SILVER PLUS</t>
  </si>
  <si>
    <t>PROTECCION TOTAL 3 LICENCIAS (LOCALIZACION EN TIEMPO REAL, CONTRO PARENTAL</t>
  </si>
  <si>
    <t>5 GB x 24 MESES</t>
  </si>
  <si>
    <t>35 GB</t>
  </si>
  <si>
    <t xml:space="preserve">18 GB </t>
  </si>
  <si>
    <t xml:space="preserve">7 GB     </t>
  </si>
  <si>
    <t xml:space="preserve">10 GB     </t>
  </si>
  <si>
    <t>ROAMING PASAPORTE SALVAVIDAS</t>
  </si>
  <si>
    <t>MOVISTAR EMPRESAS GOLD PLUS</t>
  </si>
  <si>
    <t>30% DSCTO. x 6 MESES</t>
  </si>
  <si>
    <t>DESARROLLO DE PAGINA WEB O 3 PUBLICACIONES EN REDES SOCIALES</t>
  </si>
  <si>
    <t>47 GB</t>
  </si>
  <si>
    <t xml:space="preserve">27 GB </t>
  </si>
  <si>
    <t>ROAMING PASAPORTE MOVISTAR</t>
  </si>
  <si>
    <r>
      <rPr>
        <rFont val="Montserrat"/>
        <b/>
        <color rgb="FFFFFFFF"/>
        <sz val="11.0"/>
      </rPr>
      <t>ILIMITADO</t>
    </r>
    <r>
      <rPr>
        <rFont val="Montserrat"/>
        <b/>
        <color rgb="FFFFFFFF"/>
        <sz val="11.0"/>
      </rPr>
      <t xml:space="preserve"> OP. MOVILES</t>
    </r>
  </si>
  <si>
    <t>MOVISTAR EMPRESAS PLATINIUM PLUS</t>
  </si>
  <si>
    <t>77 GB</t>
  </si>
  <si>
    <t xml:space="preserve">47 GB </t>
  </si>
  <si>
    <t xml:space="preserve">15 GB     </t>
  </si>
  <si>
    <t>ROAMING PASAPORTE EJECUTIVO</t>
  </si>
  <si>
    <r>
      <rPr>
        <rFont val="Montserrat"/>
        <b/>
        <color rgb="FFFFFFFF"/>
        <sz val="11.0"/>
      </rPr>
      <t>ILIMITADO</t>
    </r>
    <r>
      <rPr>
        <rFont val="Montserrat"/>
        <b/>
        <color rgb="FFFFFFFF"/>
        <sz val="11.0"/>
      </rPr>
      <t xml:space="preserve"> OP. MOVILES</t>
    </r>
  </si>
  <si>
    <t>MOVISTAR EMPRESAS DIAMOND PLUS</t>
  </si>
  <si>
    <t>130 GB</t>
  </si>
  <si>
    <t xml:space="preserve">85 GB </t>
  </si>
  <si>
    <t xml:space="preserve">25 GB     </t>
  </si>
  <si>
    <t xml:space="preserve">20 GB     </t>
  </si>
  <si>
    <r>
      <rPr>
        <rFont val="Montserrat"/>
        <b/>
        <color rgb="FFFFFFFF"/>
        <sz val="11.0"/>
      </rPr>
      <t>ILIMITADO</t>
    </r>
    <r>
      <rPr>
        <rFont val="Montserrat"/>
        <b/>
        <color rgb="FFFFFFFF"/>
        <sz val="11.0"/>
      </rPr>
      <t xml:space="preserve"> OP. MOVILES</t>
    </r>
  </si>
  <si>
    <t>RUC Natural: Parrilla Movistar Empresas Plus desde TB16.06. Aplican promocionales.</t>
  </si>
  <si>
    <t>Promociones (mantenemos promocionales vigentes)</t>
  </si>
  <si>
    <t>2. Llamadas ilimitadas móviles en plan Movistar Empresas Bronze Plus TB18.39</t>
  </si>
  <si>
    <t>3. Llamadas ilimitadas móviles en el plan Movistar Empresas Iron Plus TB16.06 en cuentas de 3 líneas en adelante</t>
  </si>
  <si>
    <t>4. Promoción Portabilidad 2GB y 5GB por 24 meses según el plan contratado.</t>
  </si>
  <si>
    <t>5. Servicios Digitales:</t>
  </si>
  <si>
    <t>Movistar Empresas Bronze Plus (Almacenamiento en la nube)</t>
  </si>
  <si>
    <t>Movistar Empresas Silver Plus (Protección total)</t>
  </si>
  <si>
    <t>Movistar Empresas Gold Plus (RRSS o Página web)</t>
  </si>
  <si>
    <t>Servicios Digitales: El beneficio cuenta con una permanencia mínima, si el cliente realiza portabilidad o solicita la baja a prepago o desactivación de las líneas se le cobrará $8,93 más impuestos.</t>
  </si>
  <si>
    <t>Promoción portabilidad</t>
  </si>
  <si>
    <t>2GB adicionales por 24 meses: Plan Movistar Empresas Iron, Movistar Empresas Iron Plus, Movistar Empresas Bronze Plus.</t>
  </si>
  <si>
    <t>5GB adicionales por 24 meses: Plan Movistar Empresas Silver, Movistar Empresas Silver Plus, Movistar Empresas Gold, Movistar Empresas Gold Plus, Movistar Empresas Platinum, Movistar Empresas Platinum Plus, Movistar Empresas Diamond, Movistar Empresas Diamond Plus.</t>
  </si>
  <si>
    <t>Los planes Movistar Empresas Silver y Movistar Silver Plus continuarán con el beneficio de llamadas ilimitadas sin tener un blindaje adicional.</t>
  </si>
  <si>
    <t>DESCUENTOS</t>
  </si>
  <si>
    <t>PORTABILIDAD</t>
  </si>
  <si>
    <t>BUSINESS PACK</t>
  </si>
  <si>
    <r>
      <rPr>
        <rFont val="Calibri"/>
        <b/>
        <color rgb="FFFFFFFF"/>
        <sz val="15.0"/>
      </rPr>
      <t xml:space="preserve">MINUTOS INCLUIDOS               </t>
    </r>
    <r>
      <rPr>
        <rFont val="Calibri"/>
        <b/>
        <color rgb="FFFFFF00"/>
        <sz val="15.0"/>
      </rPr>
      <t xml:space="preserve"> (OTRAS OP. MOVILES)</t>
    </r>
  </si>
  <si>
    <r>
      <rPr>
        <rFont val="Calibri"/>
        <b/>
        <color rgb="FFFFFFFF"/>
        <sz val="15.0"/>
      </rPr>
      <t xml:space="preserve">FAMILIA Y AMIGOS FULL     </t>
    </r>
    <r>
      <rPr>
        <rFont val="Calibri"/>
        <b/>
        <color rgb="FFFFFF00"/>
        <sz val="15.0"/>
      </rPr>
      <t xml:space="preserve"> (TITULAR + 4 AMIG@S)     *444</t>
    </r>
  </si>
  <si>
    <t>MOVISTAR EMPRESAS IRON</t>
  </si>
  <si>
    <t>LLAMADAS ILIMITADAS: 
PORTABILIDAD DESDE 3 LINEAS
ALTA NUEVA DESDE 5 LINEAS</t>
  </si>
  <si>
    <t xml:space="preserve">25 GB </t>
  </si>
  <si>
    <t>10 GB</t>
  </si>
  <si>
    <t xml:space="preserve">3 GB     </t>
  </si>
  <si>
    <r>
      <rPr>
        <rFont val="Montserrat"/>
        <b/>
        <color rgb="FFFFFFFF"/>
        <sz val="11.0"/>
      </rPr>
      <t>350</t>
    </r>
    <r>
      <rPr>
        <rFont val="Montserrat"/>
        <b/>
        <color rgb="FFFFFFFF"/>
        <sz val="11.0"/>
      </rPr>
      <t xml:space="preserve"> MINUTOS</t>
    </r>
  </si>
  <si>
    <t>MOVISTAR EMPRESAS BRONZE</t>
  </si>
  <si>
    <t xml:space="preserve">31 GB </t>
  </si>
  <si>
    <t xml:space="preserve">11 GB </t>
  </si>
  <si>
    <r>
      <rPr>
        <rFont val="Montserrat"/>
        <b/>
        <color rgb="FFFFFFFF"/>
        <sz val="11.0"/>
      </rPr>
      <t>550</t>
    </r>
    <r>
      <rPr>
        <rFont val="Montserrat"/>
        <b/>
        <color rgb="FFFFFFFF"/>
        <sz val="11.0"/>
      </rPr>
      <t xml:space="preserve"> MINUTOS</t>
    </r>
  </si>
  <si>
    <t>MOVISTAR EMPRESAS SILVER</t>
  </si>
  <si>
    <t xml:space="preserve">8 GB     </t>
  </si>
  <si>
    <r>
      <rPr>
        <rFont val="Montserrat"/>
        <b/>
        <color rgb="FFFFFFFF"/>
        <sz val="11.0"/>
      </rPr>
      <t>800</t>
    </r>
    <r>
      <rPr>
        <rFont val="Montserrat"/>
        <b/>
        <color rgb="FFFFFFFF"/>
        <sz val="11.0"/>
      </rPr>
      <t xml:space="preserve"> MINUTOS</t>
    </r>
  </si>
  <si>
    <t>MOVISTAR EMPRESAS GOLD</t>
  </si>
  <si>
    <r>
      <rPr>
        <rFont val="Montserrat"/>
        <b/>
        <color rgb="FFFFFFFF"/>
        <sz val="11.0"/>
      </rPr>
      <t>ILIMITADO</t>
    </r>
    <r>
      <rPr>
        <rFont val="Montserrat"/>
        <b/>
        <color rgb="FFFFFFFF"/>
        <sz val="11.0"/>
      </rPr>
      <t xml:space="preserve"> OP. MOVILES</t>
    </r>
  </si>
  <si>
    <t>MOVISTAR EMPRESAS PLATINIUM</t>
  </si>
  <si>
    <t xml:space="preserve">57 GB </t>
  </si>
  <si>
    <t xml:space="preserve">35 GB </t>
  </si>
  <si>
    <t xml:space="preserve">12 GB     </t>
  </si>
  <si>
    <r>
      <rPr>
        <rFont val="Montserrat"/>
        <b/>
        <color rgb="FFFFFFFF"/>
        <sz val="11.0"/>
      </rPr>
      <t>ILIMITADO</t>
    </r>
    <r>
      <rPr>
        <rFont val="Montserrat"/>
        <b/>
        <color rgb="FFFFFFFF"/>
        <sz val="11.0"/>
      </rPr>
      <t xml:space="preserve"> OP. MOVILES</t>
    </r>
  </si>
  <si>
    <t>MOVISTAR EMPRESAS DIAMOND</t>
  </si>
  <si>
    <t xml:space="preserve">105 GB </t>
  </si>
  <si>
    <t xml:space="preserve">70 GB </t>
  </si>
  <si>
    <r>
      <rPr>
        <rFont val="Montserrat"/>
        <b/>
        <color rgb="FFFFFFFF"/>
        <sz val="11.0"/>
      </rPr>
      <t>ILIMITADO</t>
    </r>
    <r>
      <rPr>
        <rFont val="Montserrat"/>
        <b/>
        <color rgb="FFFFFFFF"/>
        <sz val="11.0"/>
      </rPr>
      <t xml:space="preserve"> OP. MOVILES</t>
    </r>
  </si>
  <si>
    <t>RUC Jurídico: Parrilla Movistar Empresas desde plan TB15</t>
  </si>
  <si>
    <t>1. Promocional disponible con esta parrilla: Promoción Portabilidad 2GB y 5GB por 24 meses según el plan contratado.</t>
  </si>
  <si>
    <t>Pueden negociar la parrilla Movistar Empresas Plus en RUC Jurídico para aplicar los promocionales:</t>
  </si>
  <si>
    <t>3. Llamadas ilimitadas móviles en plan Movistar Empresas Iron Plus TB16.06 desde una línea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</si>
</sst>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[$$]#,##0.00"/>
    <numFmt numFmtId="166" formatCode="&quot;$&quot;#,##0"/>
  </numFmts>
  <fonts count="41">
    <font>
      <sz val="11.0"/>
      <color theme="1"/>
      <name val="Calibri"/>
      <scheme val="minor"/>
    </font>
    <font>
      <sz val="9.0"/>
      <color theme="1"/>
      <name val="Calibri"/>
    </font>
    <font>
      <sz val="10.0"/>
      <color theme="1"/>
      <name val="Calibri"/>
    </font>
    <font>
      <b/>
      <sz val="24.0"/>
      <color theme="0"/>
      <name val="Montserrat"/>
    </font>
    <font/>
    <font>
      <b/>
      <sz val="14.0"/>
      <color rgb="FFFFFFFF"/>
      <name val="Lexend"/>
    </font>
    <font>
      <b/>
      <sz val="10.0"/>
      <color rgb="FFFFFFFF"/>
      <name val="Lexend"/>
    </font>
    <font>
      <b/>
      <color rgb="FF0B5394"/>
      <name val="Lexend"/>
    </font>
    <font>
      <b/>
      <sz val="15.0"/>
      <color rgb="FFFFFFFF"/>
      <name val="Calibri"/>
    </font>
    <font>
      <b/>
      <sz val="12.0"/>
      <color theme="1"/>
      <name val="Lexend"/>
    </font>
    <font>
      <b/>
      <sz val="10.0"/>
      <color rgb="FFFFFFFF"/>
      <name val="Calibri"/>
    </font>
    <font>
      <b/>
      <sz val="11.0"/>
      <color rgb="FF1C4587"/>
      <name val="Montserrat"/>
    </font>
    <font>
      <b/>
      <color rgb="FFFFFFFF"/>
      <name val="Calibri"/>
    </font>
    <font>
      <b/>
      <sz val="16.0"/>
      <color rgb="FF0B5394"/>
      <name val="Impact"/>
    </font>
    <font>
      <b/>
      <sz val="20.0"/>
      <color rgb="FFFFFFFF"/>
      <name val="Lucida Sans"/>
    </font>
    <font>
      <b/>
      <sz val="12.0"/>
      <color rgb="FFFFFFFF"/>
      <name val="Calibri"/>
    </font>
    <font>
      <b/>
      <sz val="16.0"/>
      <color rgb="FF2E75B5"/>
      <name val="Montserrat"/>
    </font>
    <font>
      <b/>
      <sz val="16.0"/>
      <color theme="0"/>
      <name val="Montserrat"/>
    </font>
    <font>
      <b/>
      <sz val="12.0"/>
      <color rgb="FFFFFF00"/>
      <name val="Montserrat"/>
    </font>
    <font>
      <b/>
      <sz val="16.0"/>
      <color rgb="FFFFFF00"/>
      <name val="Montserrat"/>
    </font>
    <font>
      <b/>
      <sz val="14.0"/>
      <color rgb="FFFFFFFF"/>
      <name val="Montserrat"/>
    </font>
    <font>
      <b/>
      <sz val="9.0"/>
      <color rgb="FFFFFFFF"/>
      <name val="Montserrat"/>
    </font>
    <font>
      <b/>
      <sz val="12.0"/>
      <color rgb="FFFFFFFF"/>
      <name val="Montserrat"/>
    </font>
    <font>
      <b/>
      <sz val="16.0"/>
      <color rgb="FFFFFFFF"/>
      <name val="Montserrat"/>
    </font>
    <font>
      <b/>
      <sz val="16.0"/>
      <color rgb="FF0000FF"/>
      <name val="Montserrat"/>
    </font>
    <font>
      <b/>
      <sz val="16.0"/>
      <color rgb="FF1155CC"/>
      <name val="Montserrat"/>
    </font>
    <font>
      <b/>
      <sz val="10.0"/>
      <color rgb="FF0B5394"/>
      <name val="Montserrat"/>
    </font>
    <font>
      <b/>
      <sz val="12.0"/>
      <color rgb="FF000000"/>
      <name val="Montserrat"/>
    </font>
    <font>
      <b/>
      <sz val="12.0"/>
      <color rgb="FF2E75B5"/>
      <name val="Montserrat"/>
    </font>
    <font>
      <b/>
      <sz val="11.0"/>
      <color rgb="FFFFFFFF"/>
      <name val="Montserrat"/>
    </font>
    <font>
      <b/>
      <sz val="12.0"/>
      <color rgb="FF1155CC"/>
      <name val="Montserrat"/>
    </font>
    <font>
      <b/>
      <sz val="12.0"/>
      <color theme="1"/>
      <name val="Montserrat"/>
    </font>
    <font>
      <b/>
      <sz val="10.0"/>
      <color rgb="FF2E75B5"/>
      <name val="Movistar text"/>
    </font>
    <font>
      <b/>
      <sz val="25.0"/>
      <color theme="1"/>
      <name val="Montserrat"/>
    </font>
    <font>
      <b/>
      <sz val="9.0"/>
      <color theme="0"/>
      <name val="Montserrat"/>
    </font>
    <font>
      <b/>
      <sz val="11.0"/>
      <color rgb="FF2E75B5"/>
      <name val="Montserrat"/>
    </font>
    <font>
      <b/>
      <sz val="12.0"/>
      <color rgb="FF000000"/>
      <name val="Aptos"/>
    </font>
    <font>
      <b/>
      <sz val="12.0"/>
      <color rgb="FF000000"/>
      <name val="Arial"/>
    </font>
    <font>
      <color theme="1"/>
      <name val="Calibri"/>
      <scheme val="minor"/>
    </font>
    <font>
      <b/>
      <sz val="12.0"/>
      <color rgb="FF0000FF"/>
      <name val="Lexend"/>
    </font>
    <font>
      <b/>
      <sz val="12.0"/>
      <color rgb="FF1155CC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A64D79"/>
        <bgColor rgb="FFA64D79"/>
      </patternFill>
    </fill>
    <fill>
      <patternFill patternType="solid">
        <fgColor rgb="FFC27BA0"/>
        <bgColor rgb="FFC27BA0"/>
      </patternFill>
    </fill>
    <fill>
      <patternFill patternType="solid">
        <fgColor rgb="FFFFFF00"/>
        <bgColor rgb="FFFFFF00"/>
      </patternFill>
    </fill>
    <fill>
      <patternFill patternType="solid">
        <fgColor rgb="FF351C75"/>
        <bgColor rgb="FF351C75"/>
      </patternFill>
    </fill>
    <fill>
      <patternFill patternType="solid">
        <fgColor rgb="FF741B47"/>
        <bgColor rgb="FF741B47"/>
      </patternFill>
    </fill>
    <fill>
      <patternFill patternType="solid">
        <fgColor rgb="FF3C78D8"/>
        <bgColor rgb="FF3C78D8"/>
      </patternFill>
    </fill>
    <fill>
      <patternFill patternType="solid">
        <fgColor rgb="FF3D85C6"/>
        <bgColor rgb="FF3D85C6"/>
      </patternFill>
    </fill>
    <fill>
      <patternFill patternType="solid">
        <fgColor rgb="FF00FF00"/>
        <bgColor rgb="FF00FF00"/>
      </patternFill>
    </fill>
    <fill>
      <patternFill patternType="solid">
        <fgColor rgb="FF0B5394"/>
        <bgColor rgb="FF0B5394"/>
      </patternFill>
    </fill>
    <fill>
      <patternFill patternType="solid">
        <fgColor rgb="FF1155CC"/>
        <bgColor rgb="FF1155CC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</fills>
  <borders count="9">
    <border/>
    <border>
      <left style="medium">
        <color theme="4"/>
      </left>
      <top style="medium">
        <color theme="4"/>
      </top>
    </border>
    <border>
      <top style="medium">
        <color theme="4"/>
      </top>
    </border>
    <border>
      <right style="medium">
        <color theme="4"/>
      </right>
      <top style="medium">
        <color theme="4"/>
      </top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2" numFmtId="164" xfId="0" applyAlignment="1" applyFont="1" applyNumberFormat="1">
      <alignment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vertical="center" wrapText="1"/>
    </xf>
    <xf borderId="0" fillId="2" fontId="3" numFmtId="0" xfId="0" applyAlignment="1" applyFill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3" fontId="5" numFmtId="0" xfId="0" applyAlignment="1" applyBorder="1" applyFill="1" applyFont="1">
      <alignment horizontal="center" readingOrder="0" shrinkToFit="0" vertical="center" wrapText="0"/>
    </xf>
    <xf borderId="4" fillId="4" fontId="6" numFmtId="164" xfId="0" applyAlignment="1" applyBorder="1" applyFill="1" applyFont="1" applyNumberFormat="1">
      <alignment horizontal="center" readingOrder="0" shrinkToFit="0" vertical="center" wrapText="1"/>
    </xf>
    <xf borderId="4" fillId="5" fontId="7" numFmtId="164" xfId="0" applyAlignment="1" applyBorder="1" applyFill="1" applyFont="1" applyNumberFormat="1">
      <alignment horizontal="center" shrinkToFit="0" vertical="center" wrapText="1"/>
    </xf>
    <xf borderId="4" fillId="6" fontId="5" numFmtId="0" xfId="0" applyAlignment="1" applyBorder="1" applyFill="1" applyFont="1">
      <alignment horizontal="center" readingOrder="0" shrinkToFit="0" vertical="center" wrapText="1"/>
    </xf>
    <xf borderId="4" fillId="7" fontId="5" numFmtId="0" xfId="0" applyAlignment="1" applyBorder="1" applyFill="1" applyFont="1">
      <alignment horizontal="center" readingOrder="0" shrinkToFit="0" vertical="center" wrapText="0"/>
    </xf>
    <xf borderId="4" fillId="8" fontId="8" numFmtId="0" xfId="0" applyAlignment="1" applyBorder="1" applyFill="1" applyFont="1">
      <alignment horizontal="center" shrinkToFit="0" vertical="center" wrapText="1"/>
    </xf>
    <xf borderId="4" fillId="0" fontId="9" numFmtId="0" xfId="0" applyAlignment="1" applyBorder="1" applyFont="1">
      <alignment horizontal="center" readingOrder="0" shrinkToFit="0" vertical="center" wrapText="0"/>
    </xf>
    <xf borderId="4" fillId="9" fontId="10" numFmtId="0" xfId="0" applyAlignment="1" applyBorder="1" applyFill="1" applyFont="1">
      <alignment horizontal="center" shrinkToFit="0" vertical="center" wrapText="1"/>
    </xf>
    <xf borderId="4" fillId="10" fontId="11" numFmtId="0" xfId="0" applyAlignment="1" applyBorder="1" applyFill="1" applyFont="1">
      <alignment horizontal="center" shrinkToFit="0" vertical="center" wrapText="1"/>
    </xf>
    <xf borderId="4" fillId="11" fontId="12" numFmtId="0" xfId="0" applyAlignment="1" applyBorder="1" applyFill="1" applyFont="1">
      <alignment horizontal="center" readingOrder="0" shrinkToFit="0" vertical="center" wrapText="1"/>
    </xf>
    <xf borderId="5" fillId="5" fontId="13" numFmtId="0" xfId="0" applyAlignment="1" applyBorder="1" applyFont="1">
      <alignment horizontal="center" shrinkToFit="0" vertical="center" wrapText="1"/>
    </xf>
    <xf borderId="5" fillId="3" fontId="14" numFmtId="0" xfId="0" applyAlignment="1" applyBorder="1" applyFont="1">
      <alignment horizontal="center" readingOrder="0" shrinkToFit="0" vertical="center" wrapText="1"/>
    </xf>
    <xf borderId="4" fillId="12" fontId="15" numFmtId="0" xfId="0" applyAlignment="1" applyBorder="1" applyFill="1" applyFont="1">
      <alignment horizontal="center" readingOrder="0" shrinkToFit="0" vertical="center" wrapText="1"/>
    </xf>
    <xf borderId="4" fillId="0" fontId="16" numFmtId="164" xfId="0" applyAlignment="1" applyBorder="1" applyFont="1" applyNumberFormat="1">
      <alignment horizontal="center" readingOrder="0" shrinkToFit="0" vertical="center" wrapText="1"/>
    </xf>
    <xf borderId="4" fillId="3" fontId="17" numFmtId="164" xfId="0" applyAlignment="1" applyBorder="1" applyFont="1" applyNumberFormat="1">
      <alignment horizontal="center" shrinkToFit="0" vertical="center" wrapText="1"/>
    </xf>
    <xf borderId="4" fillId="12" fontId="18" numFmtId="165" xfId="0" applyAlignment="1" applyBorder="1" applyFont="1" applyNumberFormat="1">
      <alignment horizontal="center" readingOrder="0" shrinkToFit="0" vertical="center" wrapText="1"/>
    </xf>
    <xf borderId="4" fillId="12" fontId="19" numFmtId="165" xfId="0" applyAlignment="1" applyBorder="1" applyFont="1" applyNumberFormat="1">
      <alignment horizontal="center" shrinkToFit="0" vertical="center" wrapText="1"/>
    </xf>
    <xf borderId="4" fillId="12" fontId="20" numFmtId="164" xfId="0" applyAlignment="1" applyBorder="1" applyFont="1" applyNumberFormat="1">
      <alignment horizontal="center" shrinkToFit="0" vertical="center" wrapText="1"/>
    </xf>
    <xf borderId="4" fillId="13" fontId="21" numFmtId="164" xfId="0" applyAlignment="1" applyBorder="1" applyFill="1" applyFont="1" applyNumberFormat="1">
      <alignment horizontal="center" readingOrder="0" shrinkToFit="0" vertical="center" wrapText="1"/>
    </xf>
    <xf borderId="4" fillId="12" fontId="22" numFmtId="0" xfId="0" applyAlignment="1" applyBorder="1" applyFont="1">
      <alignment horizontal="center" readingOrder="0" shrinkToFit="0" vertical="center" wrapText="1"/>
    </xf>
    <xf borderId="4" fillId="12" fontId="23" numFmtId="0" xfId="0" applyAlignment="1" applyBorder="1" applyFont="1">
      <alignment horizontal="center" readingOrder="0" shrinkToFit="0" vertical="center" wrapText="1"/>
    </xf>
    <xf borderId="4" fillId="14" fontId="24" numFmtId="166" xfId="0" applyAlignment="1" applyBorder="1" applyFill="1" applyFont="1" applyNumberFormat="1">
      <alignment horizontal="center" readingOrder="0" shrinkToFit="0" vertical="center" wrapText="1"/>
    </xf>
    <xf borderId="4" fillId="0" fontId="25" numFmtId="0" xfId="0" applyAlignment="1" applyBorder="1" applyFont="1">
      <alignment horizontal="center" readingOrder="0" shrinkToFit="0" vertical="center" wrapText="1"/>
    </xf>
    <xf borderId="4" fillId="0" fontId="26" numFmtId="0" xfId="0" applyAlignment="1" applyBorder="1" applyFont="1">
      <alignment horizontal="center" readingOrder="0" shrinkToFit="0" vertical="center" wrapText="0"/>
    </xf>
    <xf borderId="6" fillId="15" fontId="27" numFmtId="0" xfId="0" applyAlignment="1" applyBorder="1" applyFill="1" applyFont="1">
      <alignment horizontal="center" readingOrder="0" shrinkToFit="0" vertical="center" wrapText="1"/>
    </xf>
    <xf borderId="7" fillId="14" fontId="28" numFmtId="0" xfId="0" applyAlignment="1" applyBorder="1" applyFont="1">
      <alignment horizontal="center" readingOrder="0" vertical="center"/>
    </xf>
    <xf borderId="8" fillId="16" fontId="28" numFmtId="0" xfId="0" applyAlignment="1" applyBorder="1" applyFill="1" applyFont="1">
      <alignment horizontal="center" readingOrder="0" vertical="center"/>
    </xf>
    <xf borderId="6" fillId="9" fontId="29" numFmtId="0" xfId="0" applyAlignment="1" applyBorder="1" applyFont="1">
      <alignment horizontal="center" readingOrder="0" shrinkToFit="0" vertical="center" wrapText="1"/>
    </xf>
    <xf borderId="4" fillId="8" fontId="29" numFmtId="0" xfId="0" applyAlignment="1" applyBorder="1" applyFont="1">
      <alignment horizontal="center" shrinkToFit="0" vertical="center" wrapText="1"/>
    </xf>
    <xf borderId="4" fillId="0" fontId="30" numFmtId="0" xfId="0" applyAlignment="1" applyBorder="1" applyFont="1">
      <alignment horizontal="center" shrinkToFit="0" vertical="center" wrapText="1"/>
    </xf>
    <xf borderId="4" fillId="0" fontId="31" numFmtId="0" xfId="0" applyAlignment="1" applyBorder="1" applyFont="1">
      <alignment horizontal="center" shrinkToFit="0" vertical="center" wrapText="1"/>
    </xf>
    <xf borderId="4" fillId="0" fontId="32" numFmtId="0" xfId="0" applyAlignment="1" applyBorder="1" applyFont="1">
      <alignment horizontal="center" shrinkToFit="0" vertical="center" wrapText="1"/>
    </xf>
    <xf borderId="4" fillId="0" fontId="33" numFmtId="166" xfId="0" applyAlignment="1" applyBorder="1" applyFont="1" applyNumberFormat="1">
      <alignment horizontal="center" readingOrder="0" shrinkToFit="0" vertical="center" wrapText="1"/>
    </xf>
    <xf borderId="4" fillId="5" fontId="25" numFmtId="0" xfId="0" applyAlignment="1" applyBorder="1" applyFont="1">
      <alignment horizontal="center" readingOrder="0" shrinkToFit="0" vertical="center" wrapText="1"/>
    </xf>
    <xf borderId="4" fillId="13" fontId="34" numFmtId="164" xfId="0" applyAlignment="1" applyBorder="1" applyFont="1" applyNumberFormat="1">
      <alignment horizontal="center" shrinkToFit="0" vertical="center" wrapText="1"/>
    </xf>
    <xf borderId="7" fillId="14" fontId="35" numFmtId="0" xfId="0" applyAlignment="1" applyBorder="1" applyFont="1">
      <alignment horizontal="center" readingOrder="0" vertical="center"/>
    </xf>
    <xf borderId="6" fillId="9" fontId="29" numFmtId="0" xfId="0" applyAlignment="1" applyBorder="1" applyFont="1">
      <alignment horizontal="center" shrinkToFit="0" vertical="center" wrapText="1"/>
    </xf>
    <xf borderId="0" fillId="0" fontId="36" numFmtId="0" xfId="0" applyAlignment="1" applyFont="1">
      <alignment readingOrder="0"/>
    </xf>
    <xf borderId="0" fillId="0" fontId="36" numFmtId="0" xfId="0" applyFont="1"/>
    <xf borderId="0" fillId="5" fontId="37" numFmtId="0" xfId="0" applyAlignment="1" applyFont="1">
      <alignment readingOrder="0"/>
    </xf>
    <xf borderId="0" fillId="5" fontId="38" numFmtId="0" xfId="0" applyFont="1"/>
    <xf borderId="4" fillId="14" fontId="39" numFmtId="0" xfId="0" applyAlignment="1" applyBorder="1" applyFont="1">
      <alignment horizontal="center" readingOrder="0" shrinkToFit="0" vertical="center" wrapText="0"/>
    </xf>
    <xf borderId="4" fillId="13" fontId="21" numFmtId="0" xfId="0" applyAlignment="1" applyBorder="1" applyFont="1">
      <alignment horizontal="center" readingOrder="0" shrinkToFit="0" vertical="center" wrapText="1"/>
    </xf>
    <xf borderId="4" fillId="12" fontId="23" numFmtId="166" xfId="0" applyAlignment="1" applyBorder="1" applyFont="1" applyNumberFormat="1">
      <alignment horizontal="center" readingOrder="0" shrinkToFit="0" vertical="center" wrapText="1"/>
    </xf>
    <xf borderId="7" fillId="0" fontId="31" numFmtId="0" xfId="0" applyAlignment="1" applyBorder="1" applyFont="1">
      <alignment horizontal="center" readingOrder="0" vertical="center"/>
    </xf>
    <xf borderId="4" fillId="0" fontId="40" numFmtId="0" xfId="0" applyAlignment="1" applyBorder="1" applyFont="1">
      <alignment horizontal="center" readingOrder="0" shrinkToFit="0" vertical="center" wrapText="1"/>
    </xf>
    <xf borderId="7" fillId="16" fontId="28" numFmtId="0" xfId="0" applyAlignment="1" applyBorder="1" applyFont="1">
      <alignment horizontal="center" readingOrder="0" vertical="center"/>
    </xf>
    <xf borderId="4" fillId="9" fontId="29" numFmtId="0" xfId="0" applyAlignment="1" applyBorder="1" applyFont="1">
      <alignment horizontal="center" readingOrder="0" shrinkToFit="0" vertical="center" wrapText="1"/>
    </xf>
    <xf borderId="4" fillId="9" fontId="29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Relationship Id="rId3" Type="http://schemas.openxmlformats.org/officeDocument/2006/relationships/image" Target="../media/image8.png"/><Relationship Id="rId4" Type="http://schemas.openxmlformats.org/officeDocument/2006/relationships/image" Target="../media/image3.png"/><Relationship Id="rId11" Type="http://schemas.openxmlformats.org/officeDocument/2006/relationships/image" Target="../media/image5.png"/><Relationship Id="rId10" Type="http://schemas.openxmlformats.org/officeDocument/2006/relationships/image" Target="../media/image7.png"/><Relationship Id="rId12" Type="http://schemas.openxmlformats.org/officeDocument/2006/relationships/image" Target="../media/image9.png"/><Relationship Id="rId9" Type="http://schemas.openxmlformats.org/officeDocument/2006/relationships/image" Target="../media/image6.png"/><Relationship Id="rId5" Type="http://schemas.openxmlformats.org/officeDocument/2006/relationships/image" Target="../media/image14.png"/><Relationship Id="rId6" Type="http://schemas.openxmlformats.org/officeDocument/2006/relationships/image" Target="../media/image19.png"/><Relationship Id="rId7" Type="http://schemas.openxmlformats.org/officeDocument/2006/relationships/image" Target="../media/image2.png"/><Relationship Id="rId8" Type="http://schemas.openxmlformats.org/officeDocument/2006/relationships/image" Target="../media/image4.png"/></Relationships>
</file>

<file path=xl/drawings/_rels/drawing3.xml.rels><?xml version="1.0" encoding="UTF-8" standalone="yes"?><Relationships xmlns="http://schemas.openxmlformats.org/package/2006/relationships"><Relationship Id="rId11" Type="http://schemas.openxmlformats.org/officeDocument/2006/relationships/image" Target="../media/image22.png"/><Relationship Id="rId10" Type="http://schemas.openxmlformats.org/officeDocument/2006/relationships/image" Target="../media/image25.png"/><Relationship Id="rId13" Type="http://schemas.openxmlformats.org/officeDocument/2006/relationships/image" Target="../media/image2.png"/><Relationship Id="rId12" Type="http://schemas.openxmlformats.org/officeDocument/2006/relationships/image" Target="../media/image17.png"/><Relationship Id="rId1" Type="http://schemas.openxmlformats.org/officeDocument/2006/relationships/image" Target="../media/image12.png"/><Relationship Id="rId2" Type="http://schemas.openxmlformats.org/officeDocument/2006/relationships/image" Target="../media/image1.png"/><Relationship Id="rId3" Type="http://schemas.openxmlformats.org/officeDocument/2006/relationships/image" Target="../media/image16.png"/><Relationship Id="rId4" Type="http://schemas.openxmlformats.org/officeDocument/2006/relationships/image" Target="../media/image3.png"/><Relationship Id="rId9" Type="http://schemas.openxmlformats.org/officeDocument/2006/relationships/image" Target="../media/image26.png"/><Relationship Id="rId15" Type="http://schemas.openxmlformats.org/officeDocument/2006/relationships/image" Target="../media/image7.png"/><Relationship Id="rId14" Type="http://schemas.openxmlformats.org/officeDocument/2006/relationships/image" Target="../media/image6.png"/><Relationship Id="rId17" Type="http://schemas.openxmlformats.org/officeDocument/2006/relationships/image" Target="../media/image9.png"/><Relationship Id="rId16" Type="http://schemas.openxmlformats.org/officeDocument/2006/relationships/image" Target="../media/image5.png"/><Relationship Id="rId5" Type="http://schemas.openxmlformats.org/officeDocument/2006/relationships/image" Target="../media/image8.png"/><Relationship Id="rId6" Type="http://schemas.openxmlformats.org/officeDocument/2006/relationships/image" Target="../media/image28.png"/><Relationship Id="rId7" Type="http://schemas.openxmlformats.org/officeDocument/2006/relationships/image" Target="../media/image24.png"/><Relationship Id="rId8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152400</xdr:colOff>
      <xdr:row>1</xdr:row>
      <xdr:rowOff>152400</xdr:rowOff>
    </xdr:from>
    <xdr:ext cx="1638300" cy="323850"/>
    <xdr:sp>
      <xdr:nvSpPr>
        <xdr:cNvPr id="3" name="Shape 3"/>
        <xdr:cNvSpPr txBox="1"/>
      </xdr:nvSpPr>
      <xdr:spPr>
        <a:xfrm>
          <a:off x="3166050" y="705100"/>
          <a:ext cx="1618800" cy="1026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304800</xdr:colOff>
      <xdr:row>2</xdr:row>
      <xdr:rowOff>819150</xdr:rowOff>
    </xdr:from>
    <xdr:ext cx="438150" cy="4000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47625</xdr:colOff>
      <xdr:row>4</xdr:row>
      <xdr:rowOff>161925</xdr:rowOff>
    </xdr:from>
    <xdr:ext cx="1552575" cy="447675"/>
    <xdr:pic>
      <xdr:nvPicPr>
        <xdr:cNvPr id="0" name="image2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47625</xdr:colOff>
      <xdr:row>5</xdr:row>
      <xdr:rowOff>161925</xdr:rowOff>
    </xdr:from>
    <xdr:ext cx="1552575" cy="447675"/>
    <xdr:pic>
      <xdr:nvPicPr>
        <xdr:cNvPr id="0" name="image2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47625</xdr:colOff>
      <xdr:row>6</xdr:row>
      <xdr:rowOff>161925</xdr:rowOff>
    </xdr:from>
    <xdr:ext cx="1552575" cy="447675"/>
    <xdr:pic>
      <xdr:nvPicPr>
        <xdr:cNvPr id="0" name="image2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47625</xdr:colOff>
      <xdr:row>7</xdr:row>
      <xdr:rowOff>161925</xdr:rowOff>
    </xdr:from>
    <xdr:ext cx="1552575" cy="447675"/>
    <xdr:pic>
      <xdr:nvPicPr>
        <xdr:cNvPr id="0" name="image2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47625</xdr:colOff>
      <xdr:row>8</xdr:row>
      <xdr:rowOff>161925</xdr:rowOff>
    </xdr:from>
    <xdr:ext cx="1552575" cy="447675"/>
    <xdr:pic>
      <xdr:nvPicPr>
        <xdr:cNvPr id="0" name="image2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47625</xdr:colOff>
      <xdr:row>9</xdr:row>
      <xdr:rowOff>161925</xdr:rowOff>
    </xdr:from>
    <xdr:ext cx="1552575" cy="447675"/>
    <xdr:pic>
      <xdr:nvPicPr>
        <xdr:cNvPr id="0" name="image2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523875</xdr:colOff>
      <xdr:row>4</xdr:row>
      <xdr:rowOff>504825</xdr:rowOff>
    </xdr:from>
    <xdr:ext cx="323850" cy="323850"/>
    <xdr:pic>
      <xdr:nvPicPr>
        <xdr:cNvPr id="0" name="image8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523875</xdr:colOff>
      <xdr:row>5</xdr:row>
      <xdr:rowOff>504825</xdr:rowOff>
    </xdr:from>
    <xdr:ext cx="323850" cy="323850"/>
    <xdr:pic>
      <xdr:nvPicPr>
        <xdr:cNvPr id="0" name="image8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104775</xdr:colOff>
      <xdr:row>4</xdr:row>
      <xdr:rowOff>95250</xdr:rowOff>
    </xdr:from>
    <xdr:ext cx="1333500" cy="590550"/>
    <xdr:pic>
      <xdr:nvPicPr>
        <xdr:cNvPr id="0" name="image3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104775</xdr:colOff>
      <xdr:row>5</xdr:row>
      <xdr:rowOff>95250</xdr:rowOff>
    </xdr:from>
    <xdr:ext cx="1333500" cy="590550"/>
    <xdr:pic>
      <xdr:nvPicPr>
        <xdr:cNvPr id="0" name="image3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104775</xdr:colOff>
      <xdr:row>6</xdr:row>
      <xdr:rowOff>95250</xdr:rowOff>
    </xdr:from>
    <xdr:ext cx="1333500" cy="590550"/>
    <xdr:pic>
      <xdr:nvPicPr>
        <xdr:cNvPr id="0" name="image3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104775</xdr:colOff>
      <xdr:row>7</xdr:row>
      <xdr:rowOff>95250</xdr:rowOff>
    </xdr:from>
    <xdr:ext cx="1333500" cy="590550"/>
    <xdr:pic>
      <xdr:nvPicPr>
        <xdr:cNvPr id="0" name="image3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104775</xdr:colOff>
      <xdr:row>8</xdr:row>
      <xdr:rowOff>95250</xdr:rowOff>
    </xdr:from>
    <xdr:ext cx="1333500" cy="590550"/>
    <xdr:pic>
      <xdr:nvPicPr>
        <xdr:cNvPr id="0" name="image3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104775</xdr:colOff>
      <xdr:row>9</xdr:row>
      <xdr:rowOff>76200</xdr:rowOff>
    </xdr:from>
    <xdr:ext cx="1333500" cy="590550"/>
    <xdr:pic>
      <xdr:nvPicPr>
        <xdr:cNvPr id="0" name="image3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523875</xdr:colOff>
      <xdr:row>6</xdr:row>
      <xdr:rowOff>504825</xdr:rowOff>
    </xdr:from>
    <xdr:ext cx="323850" cy="323850"/>
    <xdr:pic>
      <xdr:nvPicPr>
        <xdr:cNvPr id="0" name="image8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523875</xdr:colOff>
      <xdr:row>7</xdr:row>
      <xdr:rowOff>504825</xdr:rowOff>
    </xdr:from>
    <xdr:ext cx="323850" cy="323850"/>
    <xdr:pic>
      <xdr:nvPicPr>
        <xdr:cNvPr id="0" name="image8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523875</xdr:colOff>
      <xdr:row>8</xdr:row>
      <xdr:rowOff>552450</xdr:rowOff>
    </xdr:from>
    <xdr:ext cx="323850" cy="323850"/>
    <xdr:pic>
      <xdr:nvPicPr>
        <xdr:cNvPr id="0" name="image8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523875</xdr:colOff>
      <xdr:row>9</xdr:row>
      <xdr:rowOff>466725</xdr:rowOff>
    </xdr:from>
    <xdr:ext cx="323850" cy="323850"/>
    <xdr:pic>
      <xdr:nvPicPr>
        <xdr:cNvPr id="0" name="image8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2</xdr:row>
      <xdr:rowOff>38100</xdr:rowOff>
    </xdr:from>
    <xdr:ext cx="581025" cy="400050"/>
    <xdr:pic>
      <xdr:nvPicPr>
        <xdr:cNvPr id="0" name="image14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685800</xdr:colOff>
      <xdr:row>2</xdr:row>
      <xdr:rowOff>19050</xdr:rowOff>
    </xdr:from>
    <xdr:ext cx="438150" cy="447675"/>
    <xdr:pic>
      <xdr:nvPicPr>
        <xdr:cNvPr id="0" name="image19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1143000</xdr:colOff>
      <xdr:row>2</xdr:row>
      <xdr:rowOff>133350</xdr:rowOff>
    </xdr:from>
    <xdr:ext cx="800100" cy="266700"/>
    <xdr:pic>
      <xdr:nvPicPr>
        <xdr:cNvPr id="0" name="image2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1028700</xdr:colOff>
      <xdr:row>2</xdr:row>
      <xdr:rowOff>76200</xdr:rowOff>
    </xdr:from>
    <xdr:ext cx="1609725" cy="1476375"/>
    <xdr:pic>
      <xdr:nvPicPr>
        <xdr:cNvPr id="0" name="image4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523875</xdr:colOff>
      <xdr:row>3</xdr:row>
      <xdr:rowOff>504825</xdr:rowOff>
    </xdr:from>
    <xdr:ext cx="323850" cy="32385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104775</xdr:colOff>
      <xdr:row>4</xdr:row>
      <xdr:rowOff>95250</xdr:rowOff>
    </xdr:from>
    <xdr:ext cx="1333500" cy="590550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104775</xdr:colOff>
      <xdr:row>3</xdr:row>
      <xdr:rowOff>95250</xdr:rowOff>
    </xdr:from>
    <xdr:ext cx="1333500" cy="590550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3</xdr:row>
      <xdr:rowOff>0</xdr:rowOff>
    </xdr:from>
    <xdr:ext cx="1600200" cy="809625"/>
    <xdr:pic>
      <xdr:nvPicPr>
        <xdr:cNvPr id="0" name="image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3</xdr:row>
      <xdr:rowOff>0</xdr:rowOff>
    </xdr:from>
    <xdr:ext cx="1162050" cy="790575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4</xdr:row>
      <xdr:rowOff>0</xdr:rowOff>
    </xdr:from>
    <xdr:ext cx="1600200" cy="809625"/>
    <xdr:pic>
      <xdr:nvPicPr>
        <xdr:cNvPr id="0" name="image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4</xdr:row>
      <xdr:rowOff>0</xdr:rowOff>
    </xdr:from>
    <xdr:ext cx="1162050" cy="790575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5</xdr:row>
      <xdr:rowOff>0</xdr:rowOff>
    </xdr:from>
    <xdr:ext cx="1628775" cy="819150"/>
    <xdr:pic>
      <xdr:nvPicPr>
        <xdr:cNvPr id="0" name="image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5</xdr:row>
      <xdr:rowOff>0</xdr:rowOff>
    </xdr:from>
    <xdr:ext cx="1162050" cy="790575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6</xdr:row>
      <xdr:rowOff>0</xdr:rowOff>
    </xdr:from>
    <xdr:ext cx="1619250" cy="809625"/>
    <xdr:pic>
      <xdr:nvPicPr>
        <xdr:cNvPr id="0" name="image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6</xdr:row>
      <xdr:rowOff>0</xdr:rowOff>
    </xdr:from>
    <xdr:ext cx="1162050" cy="790575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7</xdr:row>
      <xdr:rowOff>0</xdr:rowOff>
    </xdr:from>
    <xdr:ext cx="1619250" cy="809625"/>
    <xdr:pic>
      <xdr:nvPicPr>
        <xdr:cNvPr id="0" name="image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7</xdr:row>
      <xdr:rowOff>0</xdr:rowOff>
    </xdr:from>
    <xdr:ext cx="1162050" cy="790575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8</xdr:row>
      <xdr:rowOff>0</xdr:rowOff>
    </xdr:from>
    <xdr:ext cx="1628775" cy="838200"/>
    <xdr:pic>
      <xdr:nvPicPr>
        <xdr:cNvPr id="0" name="image9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8</xdr:row>
      <xdr:rowOff>0</xdr:rowOff>
    </xdr:from>
    <xdr:ext cx="1162050" cy="790575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9</xdr:row>
      <xdr:rowOff>0</xdr:rowOff>
    </xdr:from>
    <xdr:ext cx="1562100" cy="809625"/>
    <xdr:pic>
      <xdr:nvPicPr>
        <xdr:cNvPr id="0" name="image9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9</xdr:row>
      <xdr:rowOff>0</xdr:rowOff>
    </xdr:from>
    <xdr:ext cx="1162050" cy="790575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3</xdr:row>
      <xdr:rowOff>0</xdr:rowOff>
    </xdr:from>
    <xdr:ext cx="1019175" cy="209550"/>
    <xdr:pic>
      <xdr:nvPicPr>
        <xdr:cNvPr id="0" name="image1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</xdr:row>
      <xdr:rowOff>0</xdr:rowOff>
    </xdr:from>
    <xdr:ext cx="1019175" cy="209550"/>
    <xdr:pic>
      <xdr:nvPicPr>
        <xdr:cNvPr id="0" name="image1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</xdr:row>
      <xdr:rowOff>0</xdr:rowOff>
    </xdr:from>
    <xdr:ext cx="1019175" cy="209550"/>
    <xdr:pic>
      <xdr:nvPicPr>
        <xdr:cNvPr id="0" name="image1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</xdr:row>
      <xdr:rowOff>0</xdr:rowOff>
    </xdr:from>
    <xdr:ext cx="1019175" cy="209550"/>
    <xdr:pic>
      <xdr:nvPicPr>
        <xdr:cNvPr id="0" name="image1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</xdr:row>
      <xdr:rowOff>0</xdr:rowOff>
    </xdr:from>
    <xdr:ext cx="1019175" cy="209550"/>
    <xdr:pic>
      <xdr:nvPicPr>
        <xdr:cNvPr id="0" name="image20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</xdr:row>
      <xdr:rowOff>0</xdr:rowOff>
    </xdr:from>
    <xdr:ext cx="1019175" cy="209550"/>
    <xdr:pic>
      <xdr:nvPicPr>
        <xdr:cNvPr id="0" name="image2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</xdr:row>
      <xdr:rowOff>0</xdr:rowOff>
    </xdr:from>
    <xdr:ext cx="1019175" cy="209550"/>
    <xdr:pic>
      <xdr:nvPicPr>
        <xdr:cNvPr id="0" name="image10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314325</xdr:colOff>
      <xdr:row>2</xdr:row>
      <xdr:rowOff>809625</xdr:rowOff>
    </xdr:from>
    <xdr:ext cx="438150" cy="40005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47625</xdr:colOff>
      <xdr:row>3</xdr:row>
      <xdr:rowOff>9525</xdr:rowOff>
    </xdr:from>
    <xdr:ext cx="1447800" cy="714375"/>
    <xdr:pic>
      <xdr:nvPicPr>
        <xdr:cNvPr id="0" name="image16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104775</xdr:colOff>
      <xdr:row>3</xdr:row>
      <xdr:rowOff>95250</xdr:rowOff>
    </xdr:from>
    <xdr:ext cx="1333500" cy="590550"/>
    <xdr:pic>
      <xdr:nvPicPr>
        <xdr:cNvPr id="0" name="image3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990600</xdr:colOff>
      <xdr:row>2</xdr:row>
      <xdr:rowOff>904875</xdr:rowOff>
    </xdr:from>
    <xdr:ext cx="542925" cy="504825"/>
    <xdr:pic>
      <xdr:nvPicPr>
        <xdr:cNvPr id="0" name="image8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47625</xdr:colOff>
      <xdr:row>3</xdr:row>
      <xdr:rowOff>266700</xdr:rowOff>
    </xdr:from>
    <xdr:ext cx="304800" cy="276225"/>
    <xdr:pic>
      <xdr:nvPicPr>
        <xdr:cNvPr id="0" name="image8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47625</xdr:colOff>
      <xdr:row>4</xdr:row>
      <xdr:rowOff>266700</xdr:rowOff>
    </xdr:from>
    <xdr:ext cx="304800" cy="276225"/>
    <xdr:pic>
      <xdr:nvPicPr>
        <xdr:cNvPr id="0" name="image8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104775</xdr:colOff>
      <xdr:row>4</xdr:row>
      <xdr:rowOff>95250</xdr:rowOff>
    </xdr:from>
    <xdr:ext cx="1333500" cy="590550"/>
    <xdr:pic>
      <xdr:nvPicPr>
        <xdr:cNvPr id="0" name="image3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104775</xdr:colOff>
      <xdr:row>4</xdr:row>
      <xdr:rowOff>95250</xdr:rowOff>
    </xdr:from>
    <xdr:ext cx="1333500" cy="590550"/>
    <xdr:pic>
      <xdr:nvPicPr>
        <xdr:cNvPr id="0" name="image3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104775</xdr:colOff>
      <xdr:row>5</xdr:row>
      <xdr:rowOff>95250</xdr:rowOff>
    </xdr:from>
    <xdr:ext cx="1333500" cy="590550"/>
    <xdr:pic>
      <xdr:nvPicPr>
        <xdr:cNvPr id="0" name="image3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104775</xdr:colOff>
      <xdr:row>6</xdr:row>
      <xdr:rowOff>95250</xdr:rowOff>
    </xdr:from>
    <xdr:ext cx="1333500" cy="590550"/>
    <xdr:pic>
      <xdr:nvPicPr>
        <xdr:cNvPr id="0" name="image3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104775</xdr:colOff>
      <xdr:row>7</xdr:row>
      <xdr:rowOff>95250</xdr:rowOff>
    </xdr:from>
    <xdr:ext cx="1333500" cy="590550"/>
    <xdr:pic>
      <xdr:nvPicPr>
        <xdr:cNvPr id="0" name="image3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104775</xdr:colOff>
      <xdr:row>8</xdr:row>
      <xdr:rowOff>95250</xdr:rowOff>
    </xdr:from>
    <xdr:ext cx="1333500" cy="590550"/>
    <xdr:pic>
      <xdr:nvPicPr>
        <xdr:cNvPr id="0" name="image3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47625</xdr:colOff>
      <xdr:row>5</xdr:row>
      <xdr:rowOff>266700</xdr:rowOff>
    </xdr:from>
    <xdr:ext cx="304800" cy="276225"/>
    <xdr:pic>
      <xdr:nvPicPr>
        <xdr:cNvPr id="0" name="image8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1057275</xdr:colOff>
      <xdr:row>6</xdr:row>
      <xdr:rowOff>266700</xdr:rowOff>
    </xdr:from>
    <xdr:ext cx="304800" cy="276225"/>
    <xdr:pic>
      <xdr:nvPicPr>
        <xdr:cNvPr id="0" name="image8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1095375</xdr:colOff>
      <xdr:row>2</xdr:row>
      <xdr:rowOff>771525</xdr:rowOff>
    </xdr:from>
    <xdr:ext cx="609600" cy="590550"/>
    <xdr:pic>
      <xdr:nvPicPr>
        <xdr:cNvPr id="0" name="image28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1228725</xdr:colOff>
      <xdr:row>6</xdr:row>
      <xdr:rowOff>390525</xdr:rowOff>
    </xdr:from>
    <xdr:ext cx="381000" cy="400050"/>
    <xdr:pic>
      <xdr:nvPicPr>
        <xdr:cNvPr id="0" name="image28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1019175</xdr:colOff>
      <xdr:row>7</xdr:row>
      <xdr:rowOff>314325</xdr:rowOff>
    </xdr:from>
    <xdr:ext cx="304800" cy="276225"/>
    <xdr:pic>
      <xdr:nvPicPr>
        <xdr:cNvPr id="0" name="image8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1028700</xdr:colOff>
      <xdr:row>8</xdr:row>
      <xdr:rowOff>266700</xdr:rowOff>
    </xdr:from>
    <xdr:ext cx="304800" cy="276225"/>
    <xdr:pic>
      <xdr:nvPicPr>
        <xdr:cNvPr id="0" name="image8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1228725</xdr:colOff>
      <xdr:row>7</xdr:row>
      <xdr:rowOff>485775</xdr:rowOff>
    </xdr:from>
    <xdr:ext cx="381000" cy="400050"/>
    <xdr:pic>
      <xdr:nvPicPr>
        <xdr:cNvPr id="0" name="image28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1228725</xdr:colOff>
      <xdr:row>8</xdr:row>
      <xdr:rowOff>390525</xdr:rowOff>
    </xdr:from>
    <xdr:ext cx="381000" cy="400050"/>
    <xdr:pic>
      <xdr:nvPicPr>
        <xdr:cNvPr id="0" name="image28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123825</xdr:colOff>
      <xdr:row>2</xdr:row>
      <xdr:rowOff>19050</xdr:rowOff>
    </xdr:from>
    <xdr:ext cx="523875" cy="400050"/>
    <xdr:pic>
      <xdr:nvPicPr>
        <xdr:cNvPr id="0" name="image24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714375</xdr:colOff>
      <xdr:row>1</xdr:row>
      <xdr:rowOff>542925</xdr:rowOff>
    </xdr:from>
    <xdr:ext cx="523875" cy="447675"/>
    <xdr:pic>
      <xdr:nvPicPr>
        <xdr:cNvPr id="0" name="image27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333375</xdr:colOff>
      <xdr:row>2</xdr:row>
      <xdr:rowOff>838200</xdr:rowOff>
    </xdr:from>
    <xdr:ext cx="685800" cy="676275"/>
    <xdr:pic>
      <xdr:nvPicPr>
        <xdr:cNvPr id="0" name="image26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819150</xdr:colOff>
      <xdr:row>2</xdr:row>
      <xdr:rowOff>819150</xdr:rowOff>
    </xdr:from>
    <xdr:ext cx="581025" cy="552450"/>
    <xdr:pic>
      <xdr:nvPicPr>
        <xdr:cNvPr id="0" name="image25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38100</xdr:colOff>
      <xdr:row>1</xdr:row>
      <xdr:rowOff>523875</xdr:rowOff>
    </xdr:from>
    <xdr:ext cx="523875" cy="447675"/>
    <xdr:pic>
      <xdr:nvPicPr>
        <xdr:cNvPr id="0" name="image22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609600</xdr:colOff>
      <xdr:row>1</xdr:row>
      <xdr:rowOff>504825</xdr:rowOff>
    </xdr:from>
    <xdr:ext cx="438150" cy="447675"/>
    <xdr:pic>
      <xdr:nvPicPr>
        <xdr:cNvPr id="0" name="image17.pn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1085850</xdr:colOff>
      <xdr:row>2</xdr:row>
      <xdr:rowOff>76200</xdr:rowOff>
    </xdr:from>
    <xdr:ext cx="809625" cy="304800"/>
    <xdr:pic>
      <xdr:nvPicPr>
        <xdr:cNvPr id="0" name="image18.png" title="Imagen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3</xdr:row>
      <xdr:rowOff>0</xdr:rowOff>
    </xdr:from>
    <xdr:ext cx="1600200" cy="809625"/>
    <xdr:pic>
      <xdr:nvPicPr>
        <xdr:cNvPr id="0" name="image6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3</xdr:row>
      <xdr:rowOff>0</xdr:rowOff>
    </xdr:from>
    <xdr:ext cx="1162050" cy="790575"/>
    <xdr:pic>
      <xdr:nvPicPr>
        <xdr:cNvPr id="0" name="image7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4</xdr:row>
      <xdr:rowOff>0</xdr:rowOff>
    </xdr:from>
    <xdr:ext cx="1600200" cy="809625"/>
    <xdr:pic>
      <xdr:nvPicPr>
        <xdr:cNvPr id="0" name="image6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4</xdr:row>
      <xdr:rowOff>0</xdr:rowOff>
    </xdr:from>
    <xdr:ext cx="1162050" cy="790575"/>
    <xdr:pic>
      <xdr:nvPicPr>
        <xdr:cNvPr id="0" name="image7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5</xdr:row>
      <xdr:rowOff>0</xdr:rowOff>
    </xdr:from>
    <xdr:ext cx="1619250" cy="809625"/>
    <xdr:pic>
      <xdr:nvPicPr>
        <xdr:cNvPr id="0" name="image5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5</xdr:row>
      <xdr:rowOff>0</xdr:rowOff>
    </xdr:from>
    <xdr:ext cx="1162050" cy="790575"/>
    <xdr:pic>
      <xdr:nvPicPr>
        <xdr:cNvPr id="0" name="image7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6</xdr:row>
      <xdr:rowOff>0</xdr:rowOff>
    </xdr:from>
    <xdr:ext cx="1619250" cy="809625"/>
    <xdr:pic>
      <xdr:nvPicPr>
        <xdr:cNvPr id="0" name="image5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6</xdr:row>
      <xdr:rowOff>0</xdr:rowOff>
    </xdr:from>
    <xdr:ext cx="1162050" cy="790575"/>
    <xdr:pic>
      <xdr:nvPicPr>
        <xdr:cNvPr id="0" name="image7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7</xdr:row>
      <xdr:rowOff>0</xdr:rowOff>
    </xdr:from>
    <xdr:ext cx="1628775" cy="838200"/>
    <xdr:pic>
      <xdr:nvPicPr>
        <xdr:cNvPr id="0" name="image9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7</xdr:row>
      <xdr:rowOff>0</xdr:rowOff>
    </xdr:from>
    <xdr:ext cx="1162050" cy="790575"/>
    <xdr:pic>
      <xdr:nvPicPr>
        <xdr:cNvPr id="0" name="image7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8</xdr:row>
      <xdr:rowOff>0</xdr:rowOff>
    </xdr:from>
    <xdr:ext cx="1562100" cy="809625"/>
    <xdr:pic>
      <xdr:nvPicPr>
        <xdr:cNvPr id="0" name="image9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8</xdr:row>
      <xdr:rowOff>0</xdr:rowOff>
    </xdr:from>
    <xdr:ext cx="1162050" cy="790575"/>
    <xdr:pic>
      <xdr:nvPicPr>
        <xdr:cNvPr id="0" name="image7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5.0"/>
    <col customWidth="1" min="2" max="2" width="23.0"/>
    <col customWidth="1" min="3" max="3" width="16.14"/>
    <col customWidth="1" min="4" max="5" width="29.14"/>
    <col customWidth="1" min="6" max="7" width="27.43"/>
    <col customWidth="1" min="8" max="8" width="19.71"/>
    <col customWidth="1" min="9" max="10" width="20.29"/>
    <col customWidth="1" min="11" max="11" width="30.0"/>
    <col customWidth="1" min="12" max="12" width="24.86"/>
    <col customWidth="1" min="13" max="13" width="15.71"/>
    <col customWidth="1" min="14" max="14" width="23.86"/>
    <col customWidth="1" hidden="1" min="15" max="15" width="19.29"/>
    <col customWidth="1" min="16" max="16" width="15.71"/>
    <col customWidth="1" min="17" max="17" width="42.0"/>
    <col customWidth="1" hidden="1" min="18" max="18" width="21.86"/>
    <col customWidth="1" min="19" max="19" width="33.0"/>
    <col customWidth="1" min="20" max="20" width="23.0"/>
    <col customWidth="1" min="21" max="21" width="15.14"/>
    <col customWidth="1" min="22" max="23" width="24.43"/>
    <col customWidth="1" min="24" max="24" width="17.43"/>
  </cols>
  <sheetData>
    <row r="1" ht="12.75" customHeight="1">
      <c r="A1" s="1"/>
      <c r="B1" s="2"/>
      <c r="C1" s="3"/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ht="39.75" customHeight="1">
      <c r="A2" s="5"/>
      <c r="B2" s="2"/>
      <c r="C2" s="3"/>
      <c r="D2" s="3"/>
      <c r="E2" s="3"/>
      <c r="F2" s="3"/>
      <c r="G2" s="3"/>
      <c r="H2" s="3"/>
      <c r="I2" s="6"/>
      <c r="J2" s="7" t="s">
        <v>0</v>
      </c>
      <c r="K2" s="8"/>
      <c r="L2" s="8"/>
      <c r="M2" s="8"/>
      <c r="N2" s="8"/>
      <c r="O2" s="8"/>
      <c r="P2" s="8"/>
      <c r="Q2" s="8"/>
      <c r="R2" s="8"/>
      <c r="S2" s="8"/>
      <c r="T2" s="7" t="s">
        <v>1</v>
      </c>
      <c r="U2" s="8"/>
      <c r="V2" s="8"/>
      <c r="W2" s="8"/>
      <c r="X2" s="9"/>
    </row>
    <row r="3" ht="126.0" customHeight="1">
      <c r="A3" s="10" t="s">
        <v>2</v>
      </c>
      <c r="B3" s="10" t="s">
        <v>3</v>
      </c>
      <c r="C3" s="11" t="s">
        <v>4</v>
      </c>
      <c r="D3" s="11" t="s">
        <v>5</v>
      </c>
      <c r="E3" s="11" t="s">
        <v>6</v>
      </c>
      <c r="F3" s="12" t="s">
        <v>7</v>
      </c>
      <c r="G3" s="11" t="s">
        <v>8</v>
      </c>
      <c r="H3" s="11" t="s">
        <v>9</v>
      </c>
      <c r="I3" s="10" t="s">
        <v>10</v>
      </c>
      <c r="J3" s="10" t="s">
        <v>11</v>
      </c>
      <c r="K3" s="13" t="s">
        <v>12</v>
      </c>
      <c r="L3" s="14" t="s">
        <v>13</v>
      </c>
      <c r="M3" s="15" t="s">
        <v>14</v>
      </c>
      <c r="N3" s="16"/>
      <c r="O3" s="17"/>
      <c r="P3" s="18" t="s">
        <v>15</v>
      </c>
      <c r="Q3" s="19" t="s">
        <v>16</v>
      </c>
      <c r="R3" s="20" t="s">
        <v>17</v>
      </c>
      <c r="S3" s="21" t="s">
        <v>18</v>
      </c>
      <c r="T3" s="15" t="s">
        <v>19</v>
      </c>
      <c r="U3" s="15" t="s">
        <v>20</v>
      </c>
      <c r="V3" s="15" t="s">
        <v>21</v>
      </c>
      <c r="W3" s="15" t="s">
        <v>22</v>
      </c>
      <c r="X3" s="15" t="s">
        <v>23</v>
      </c>
    </row>
    <row r="4" ht="63.75" customHeight="1">
      <c r="A4" s="22" t="s">
        <v>24</v>
      </c>
      <c r="B4" s="23">
        <v>15.0</v>
      </c>
      <c r="C4" s="24">
        <f t="shared" ref="C4:C10" si="1">B4*1.15</f>
        <v>17.25</v>
      </c>
      <c r="D4" s="25" t="s">
        <v>25</v>
      </c>
      <c r="E4" s="26">
        <f t="shared" ref="E4:E5" si="2">C4-(B4*20%)</f>
        <v>14.25</v>
      </c>
      <c r="F4" s="27" t="s">
        <v>26</v>
      </c>
      <c r="G4" s="28" t="s">
        <v>27</v>
      </c>
      <c r="H4" s="29" t="s">
        <v>28</v>
      </c>
      <c r="I4" s="30" t="s">
        <v>29</v>
      </c>
      <c r="J4" s="30" t="s">
        <v>30</v>
      </c>
      <c r="K4" s="31" t="s">
        <v>31</v>
      </c>
      <c r="L4" s="32" t="s">
        <v>32</v>
      </c>
      <c r="M4" s="32" t="s">
        <v>33</v>
      </c>
      <c r="N4" s="31" t="s">
        <v>31</v>
      </c>
      <c r="O4" s="33"/>
      <c r="P4" s="34" t="s">
        <v>34</v>
      </c>
      <c r="Q4" s="35" t="s">
        <v>32</v>
      </c>
      <c r="R4" s="29" t="s">
        <v>28</v>
      </c>
      <c r="S4" s="36" t="s">
        <v>32</v>
      </c>
      <c r="T4" s="37" t="s">
        <v>35</v>
      </c>
      <c r="U4" s="38" t="s">
        <v>36</v>
      </c>
      <c r="V4" s="39"/>
      <c r="W4" s="40"/>
      <c r="X4" s="41"/>
    </row>
    <row r="5" ht="63.75" customHeight="1">
      <c r="A5" s="22" t="s">
        <v>37</v>
      </c>
      <c r="B5" s="23">
        <v>16.06</v>
      </c>
      <c r="C5" s="24">
        <f t="shared" si="1"/>
        <v>18.469</v>
      </c>
      <c r="D5" s="25" t="s">
        <v>25</v>
      </c>
      <c r="E5" s="26">
        <f t="shared" si="2"/>
        <v>15.257</v>
      </c>
      <c r="F5" s="27" t="s">
        <v>26</v>
      </c>
      <c r="G5" s="28" t="s">
        <v>38</v>
      </c>
      <c r="H5" s="29" t="s">
        <v>28</v>
      </c>
      <c r="I5" s="30" t="s">
        <v>39</v>
      </c>
      <c r="J5" s="30" t="s">
        <v>40</v>
      </c>
      <c r="K5" s="31" t="s">
        <v>41</v>
      </c>
      <c r="L5" s="42"/>
      <c r="M5" s="32" t="s">
        <v>42</v>
      </c>
      <c r="N5" s="31" t="s">
        <v>41</v>
      </c>
      <c r="O5" s="33" t="s">
        <v>43</v>
      </c>
      <c r="P5" s="34" t="s">
        <v>34</v>
      </c>
      <c r="Q5" s="35" t="s">
        <v>32</v>
      </c>
      <c r="R5" s="29" t="s">
        <v>28</v>
      </c>
      <c r="S5" s="36" t="s">
        <v>32</v>
      </c>
      <c r="T5" s="37" t="s">
        <v>44</v>
      </c>
      <c r="U5" s="38" t="s">
        <v>36</v>
      </c>
      <c r="V5" s="39"/>
      <c r="W5" s="40"/>
      <c r="X5" s="41"/>
    </row>
    <row r="6" ht="70.5" customHeight="1">
      <c r="A6" s="22" t="s">
        <v>45</v>
      </c>
      <c r="B6" s="23">
        <v>18.39</v>
      </c>
      <c r="C6" s="24">
        <f t="shared" si="1"/>
        <v>21.1485</v>
      </c>
      <c r="D6" s="25" t="s">
        <v>46</v>
      </c>
      <c r="E6" s="26">
        <f t="shared" ref="E6:E10" si="3">C6-(B6*30%)</f>
        <v>15.6315</v>
      </c>
      <c r="F6" s="27" t="s">
        <v>26</v>
      </c>
      <c r="G6" s="28" t="s">
        <v>47</v>
      </c>
      <c r="H6" s="29" t="s">
        <v>28</v>
      </c>
      <c r="I6" s="30" t="s">
        <v>48</v>
      </c>
      <c r="J6" s="30" t="s">
        <v>49</v>
      </c>
      <c r="K6" s="31" t="s">
        <v>50</v>
      </c>
      <c r="L6" s="42"/>
      <c r="M6" s="43" t="s">
        <v>51</v>
      </c>
      <c r="N6" s="31" t="s">
        <v>41</v>
      </c>
      <c r="O6" s="33" t="s">
        <v>43</v>
      </c>
      <c r="P6" s="34" t="s">
        <v>34</v>
      </c>
      <c r="Q6" s="35" t="s">
        <v>32</v>
      </c>
      <c r="R6" s="29" t="s">
        <v>28</v>
      </c>
      <c r="S6" s="36" t="s">
        <v>32</v>
      </c>
      <c r="T6" s="37" t="s">
        <v>52</v>
      </c>
      <c r="U6" s="38" t="s">
        <v>36</v>
      </c>
      <c r="V6" s="39"/>
      <c r="W6" s="40"/>
      <c r="X6" s="41"/>
    </row>
    <row r="7" ht="63.75" customHeight="1">
      <c r="A7" s="22" t="s">
        <v>53</v>
      </c>
      <c r="B7" s="23">
        <v>22.5</v>
      </c>
      <c r="C7" s="24">
        <f t="shared" si="1"/>
        <v>25.875</v>
      </c>
      <c r="D7" s="25" t="s">
        <v>46</v>
      </c>
      <c r="E7" s="26">
        <f t="shared" si="3"/>
        <v>19.125</v>
      </c>
      <c r="F7" s="27" t="s">
        <v>26</v>
      </c>
      <c r="G7" s="44" t="s">
        <v>54</v>
      </c>
      <c r="H7" s="29" t="s">
        <v>55</v>
      </c>
      <c r="I7" s="30" t="s">
        <v>56</v>
      </c>
      <c r="J7" s="30" t="s">
        <v>57</v>
      </c>
      <c r="K7" s="31" t="s">
        <v>58</v>
      </c>
      <c r="L7" s="42"/>
      <c r="M7" s="43" t="s">
        <v>51</v>
      </c>
      <c r="N7" s="31" t="s">
        <v>59</v>
      </c>
      <c r="O7" s="33" t="s">
        <v>43</v>
      </c>
      <c r="P7" s="34" t="s">
        <v>34</v>
      </c>
      <c r="Q7" s="45" t="s">
        <v>60</v>
      </c>
      <c r="R7" s="29" t="s">
        <v>55</v>
      </c>
      <c r="S7" s="36" t="s">
        <v>32</v>
      </c>
      <c r="T7" s="38" t="s">
        <v>36</v>
      </c>
      <c r="U7" s="38" t="s">
        <v>36</v>
      </c>
      <c r="V7" s="39"/>
      <c r="W7" s="40"/>
      <c r="X7" s="41"/>
    </row>
    <row r="8" ht="63.75" customHeight="1">
      <c r="A8" s="22" t="s">
        <v>61</v>
      </c>
      <c r="B8" s="23">
        <v>27.0</v>
      </c>
      <c r="C8" s="24">
        <f t="shared" si="1"/>
        <v>31.05</v>
      </c>
      <c r="D8" s="25" t="s">
        <v>62</v>
      </c>
      <c r="E8" s="26">
        <f t="shared" si="3"/>
        <v>22.95</v>
      </c>
      <c r="F8" s="27" t="s">
        <v>26</v>
      </c>
      <c r="G8" s="44" t="s">
        <v>63</v>
      </c>
      <c r="H8" s="29" t="s">
        <v>55</v>
      </c>
      <c r="I8" s="30" t="s">
        <v>64</v>
      </c>
      <c r="J8" s="30" t="s">
        <v>65</v>
      </c>
      <c r="K8" s="31" t="s">
        <v>59</v>
      </c>
      <c r="L8" s="42"/>
      <c r="M8" s="43" t="s">
        <v>51</v>
      </c>
      <c r="N8" s="31" t="s">
        <v>59</v>
      </c>
      <c r="O8" s="33" t="s">
        <v>43</v>
      </c>
      <c r="P8" s="34" t="s">
        <v>34</v>
      </c>
      <c r="Q8" s="45" t="s">
        <v>66</v>
      </c>
      <c r="R8" s="29" t="s">
        <v>55</v>
      </c>
      <c r="S8" s="36" t="s">
        <v>32</v>
      </c>
      <c r="T8" s="46" t="s">
        <v>67</v>
      </c>
      <c r="U8" s="38" t="s">
        <v>36</v>
      </c>
      <c r="V8" s="39"/>
      <c r="W8" s="40"/>
      <c r="X8" s="41"/>
    </row>
    <row r="9" ht="78.0" customHeight="1">
      <c r="A9" s="22" t="s">
        <v>68</v>
      </c>
      <c r="B9" s="23">
        <v>35.79</v>
      </c>
      <c r="C9" s="24">
        <f t="shared" si="1"/>
        <v>41.1585</v>
      </c>
      <c r="D9" s="25" t="s">
        <v>62</v>
      </c>
      <c r="E9" s="26">
        <f t="shared" si="3"/>
        <v>30.4215</v>
      </c>
      <c r="F9" s="27" t="s">
        <v>26</v>
      </c>
      <c r="G9" s="30" t="s">
        <v>32</v>
      </c>
      <c r="H9" s="29" t="s">
        <v>55</v>
      </c>
      <c r="I9" s="30" t="s">
        <v>69</v>
      </c>
      <c r="J9" s="30" t="s">
        <v>70</v>
      </c>
      <c r="K9" s="31" t="s">
        <v>71</v>
      </c>
      <c r="L9" s="42"/>
      <c r="M9" s="43" t="s">
        <v>51</v>
      </c>
      <c r="N9" s="31" t="s">
        <v>71</v>
      </c>
      <c r="O9" s="33" t="s">
        <v>43</v>
      </c>
      <c r="P9" s="34" t="s">
        <v>34</v>
      </c>
      <c r="Q9" s="45" t="s">
        <v>72</v>
      </c>
      <c r="R9" s="29" t="s">
        <v>55</v>
      </c>
      <c r="S9" s="36" t="s">
        <v>32</v>
      </c>
      <c r="T9" s="46" t="s">
        <v>73</v>
      </c>
      <c r="U9" s="38" t="s">
        <v>36</v>
      </c>
      <c r="V9" s="39"/>
      <c r="W9" s="40"/>
      <c r="X9" s="41"/>
    </row>
    <row r="10" ht="63.75" customHeight="1">
      <c r="A10" s="22" t="s">
        <v>74</v>
      </c>
      <c r="B10" s="23">
        <v>52.67</v>
      </c>
      <c r="C10" s="24">
        <f t="shared" si="1"/>
        <v>60.5705</v>
      </c>
      <c r="D10" s="25" t="s">
        <v>62</v>
      </c>
      <c r="E10" s="26">
        <f t="shared" si="3"/>
        <v>44.7695</v>
      </c>
      <c r="F10" s="27" t="s">
        <v>26</v>
      </c>
      <c r="G10" s="30" t="s">
        <v>32</v>
      </c>
      <c r="H10" s="29" t="s">
        <v>55</v>
      </c>
      <c r="I10" s="30" t="s">
        <v>75</v>
      </c>
      <c r="J10" s="30" t="s">
        <v>76</v>
      </c>
      <c r="K10" s="31" t="s">
        <v>77</v>
      </c>
      <c r="L10" s="42"/>
      <c r="M10" s="43" t="s">
        <v>51</v>
      </c>
      <c r="N10" s="31" t="s">
        <v>78</v>
      </c>
      <c r="O10" s="33" t="s">
        <v>43</v>
      </c>
      <c r="P10" s="34" t="s">
        <v>34</v>
      </c>
      <c r="Q10" s="45" t="s">
        <v>72</v>
      </c>
      <c r="R10" s="29" t="s">
        <v>55</v>
      </c>
      <c r="S10" s="36" t="s">
        <v>32</v>
      </c>
      <c r="T10" s="46" t="s">
        <v>79</v>
      </c>
      <c r="U10" s="38" t="s">
        <v>36</v>
      </c>
      <c r="V10" s="39"/>
      <c r="W10" s="40"/>
      <c r="X10" s="41"/>
    </row>
  </sheetData>
  <mergeCells count="2">
    <mergeCell ref="J2:S2"/>
    <mergeCell ref="T2:X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showGridLines="0" workbookViewId="0"/>
  </sheetViews>
  <sheetFormatPr customHeight="1" defaultColWidth="14.43" defaultRowHeight="15.0"/>
  <sheetData>
    <row r="1">
      <c r="B1" s="47"/>
    </row>
    <row r="2">
      <c r="B2" s="47" t="s">
        <v>80</v>
      </c>
    </row>
    <row r="3">
      <c r="B3" s="48"/>
    </row>
    <row r="4">
      <c r="B4" s="47" t="s">
        <v>81</v>
      </c>
    </row>
    <row r="5">
      <c r="B5" s="48"/>
    </row>
    <row r="6">
      <c r="B6" s="47" t="s">
        <v>82</v>
      </c>
    </row>
    <row r="7">
      <c r="B7" s="48"/>
    </row>
    <row r="8">
      <c r="B8" s="47" t="s">
        <v>83</v>
      </c>
    </row>
    <row r="9">
      <c r="B9" s="48"/>
    </row>
    <row r="10">
      <c r="B10" s="47" t="s">
        <v>84</v>
      </c>
    </row>
    <row r="11">
      <c r="B11" s="48"/>
    </row>
    <row r="12">
      <c r="B12" s="47" t="s">
        <v>85</v>
      </c>
    </row>
    <row r="13">
      <c r="B13" s="48"/>
    </row>
    <row r="14">
      <c r="B14" s="47" t="s">
        <v>86</v>
      </c>
    </row>
    <row r="15">
      <c r="B15" s="48"/>
    </row>
    <row r="16">
      <c r="B16" s="47" t="s">
        <v>87</v>
      </c>
    </row>
    <row r="17">
      <c r="B17" s="48"/>
    </row>
    <row r="18">
      <c r="B18" s="47" t="s">
        <v>88</v>
      </c>
    </row>
    <row r="20">
      <c r="B20" s="49" t="s">
        <v>89</v>
      </c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</row>
    <row r="22">
      <c r="B22" s="47" t="s">
        <v>90</v>
      </c>
    </row>
    <row r="23">
      <c r="B23" s="48"/>
    </row>
    <row r="24">
      <c r="B24" s="47" t="s">
        <v>91</v>
      </c>
    </row>
    <row r="25">
      <c r="B25" s="48"/>
    </row>
    <row r="26">
      <c r="B26" s="47" t="s">
        <v>92</v>
      </c>
    </row>
    <row r="27">
      <c r="B27" s="48"/>
    </row>
    <row r="28">
      <c r="B28" s="47" t="s">
        <v>93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5.0"/>
    <col customWidth="1" min="2" max="2" width="23.0"/>
    <col customWidth="1" min="3" max="3" width="16.14"/>
    <col customWidth="1" min="4" max="4" width="29.14"/>
    <col customWidth="1" min="5" max="5" width="24.57"/>
    <col customWidth="1" min="6" max="6" width="20.86"/>
    <col customWidth="1" min="7" max="8" width="20.29"/>
    <col customWidth="1" min="9" max="9" width="30.14"/>
    <col customWidth="1" min="10" max="10" width="15.71"/>
    <col customWidth="1" min="11" max="11" width="21.43"/>
    <col customWidth="1" hidden="1" min="12" max="12" width="19.29"/>
    <col customWidth="1" min="13" max="13" width="15.71"/>
    <col customWidth="1" min="14" max="14" width="42.0"/>
    <col customWidth="1" hidden="1" min="15" max="15" width="22.57"/>
    <col customWidth="1" min="16" max="16" width="22.57"/>
    <col customWidth="1" min="17" max="17" width="23.0"/>
    <col customWidth="1" min="18" max="18" width="15.14"/>
    <col customWidth="1" min="19" max="20" width="24.43"/>
    <col customWidth="1" min="21" max="21" width="17.43"/>
  </cols>
  <sheetData>
    <row r="1" ht="12.75" customHeight="1">
      <c r="A1" s="1"/>
      <c r="B1" s="2"/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ht="42.75" customHeight="1">
      <c r="A2" s="5"/>
      <c r="B2" s="2"/>
      <c r="C2" s="3"/>
      <c r="D2" s="3"/>
      <c r="E2" s="6"/>
      <c r="F2" s="6"/>
      <c r="G2" s="6"/>
      <c r="H2" s="7" t="s">
        <v>0</v>
      </c>
      <c r="I2" s="8"/>
      <c r="J2" s="8"/>
      <c r="K2" s="8"/>
      <c r="L2" s="8"/>
      <c r="M2" s="8"/>
      <c r="N2" s="8"/>
      <c r="O2" s="8"/>
      <c r="P2" s="8"/>
      <c r="Q2" s="7" t="s">
        <v>1</v>
      </c>
      <c r="R2" s="8"/>
      <c r="S2" s="8"/>
      <c r="T2" s="8"/>
      <c r="U2" s="9"/>
    </row>
    <row r="3">
      <c r="A3" s="10" t="s">
        <v>2</v>
      </c>
      <c r="B3" s="10" t="s">
        <v>3</v>
      </c>
      <c r="C3" s="11" t="s">
        <v>4</v>
      </c>
      <c r="D3" s="11" t="s">
        <v>94</v>
      </c>
      <c r="E3" s="11" t="s">
        <v>8</v>
      </c>
      <c r="F3" s="11" t="s">
        <v>95</v>
      </c>
      <c r="G3" s="10" t="s">
        <v>10</v>
      </c>
      <c r="H3" s="10" t="s">
        <v>11</v>
      </c>
      <c r="I3" s="13" t="s">
        <v>12</v>
      </c>
      <c r="J3" s="15" t="s">
        <v>14</v>
      </c>
      <c r="K3" s="51" t="s">
        <v>96</v>
      </c>
      <c r="L3" s="17"/>
      <c r="M3" s="18" t="s">
        <v>15</v>
      </c>
      <c r="N3" s="19" t="s">
        <v>16</v>
      </c>
      <c r="O3" s="20" t="s">
        <v>17</v>
      </c>
      <c r="P3" s="21" t="s">
        <v>18</v>
      </c>
      <c r="Q3" s="15" t="s">
        <v>97</v>
      </c>
      <c r="R3" s="15" t="s">
        <v>20</v>
      </c>
      <c r="S3" s="15" t="s">
        <v>21</v>
      </c>
      <c r="T3" s="15" t="s">
        <v>22</v>
      </c>
      <c r="U3" s="15" t="s">
        <v>98</v>
      </c>
    </row>
    <row r="4" ht="63.75" customHeight="1">
      <c r="A4" s="22" t="s">
        <v>99</v>
      </c>
      <c r="B4" s="23">
        <v>15.0</v>
      </c>
      <c r="C4" s="24">
        <f t="shared" ref="C4:C9" si="1">B4*1.15</f>
        <v>17.25</v>
      </c>
      <c r="D4" s="25" t="s">
        <v>32</v>
      </c>
      <c r="E4" s="52" t="s">
        <v>100</v>
      </c>
      <c r="F4" s="30" t="s">
        <v>32</v>
      </c>
      <c r="G4" s="53" t="s">
        <v>101</v>
      </c>
      <c r="H4" s="30" t="s">
        <v>102</v>
      </c>
      <c r="I4" s="31" t="s">
        <v>103</v>
      </c>
      <c r="J4" s="32" t="s">
        <v>42</v>
      </c>
      <c r="K4" s="31" t="s">
        <v>31</v>
      </c>
      <c r="L4" s="33" t="s">
        <v>43</v>
      </c>
      <c r="M4" s="34" t="s">
        <v>34</v>
      </c>
      <c r="N4" s="54" t="s">
        <v>32</v>
      </c>
      <c r="O4" s="55" t="s">
        <v>28</v>
      </c>
      <c r="P4" s="56" t="s">
        <v>32</v>
      </c>
      <c r="Q4" s="57" t="s">
        <v>104</v>
      </c>
      <c r="R4" s="38" t="s">
        <v>36</v>
      </c>
      <c r="S4" s="39"/>
      <c r="T4" s="39"/>
      <c r="U4" s="41"/>
    </row>
    <row r="5" ht="63.75" customHeight="1">
      <c r="A5" s="22" t="s">
        <v>105</v>
      </c>
      <c r="B5" s="23">
        <v>18.0</v>
      </c>
      <c r="C5" s="24">
        <f t="shared" si="1"/>
        <v>20.7</v>
      </c>
      <c r="D5" s="25" t="s">
        <v>32</v>
      </c>
      <c r="E5" s="30" t="s">
        <v>32</v>
      </c>
      <c r="F5" s="30" t="s">
        <v>32</v>
      </c>
      <c r="G5" s="53" t="s">
        <v>106</v>
      </c>
      <c r="H5" s="30" t="s">
        <v>107</v>
      </c>
      <c r="I5" s="31" t="s">
        <v>31</v>
      </c>
      <c r="J5" s="32" t="s">
        <v>102</v>
      </c>
      <c r="K5" s="31" t="s">
        <v>50</v>
      </c>
      <c r="L5" s="33" t="s">
        <v>43</v>
      </c>
      <c r="M5" s="34" t="s">
        <v>34</v>
      </c>
      <c r="N5" s="35" t="s">
        <v>32</v>
      </c>
      <c r="O5" s="55" t="s">
        <v>28</v>
      </c>
      <c r="P5" s="56" t="s">
        <v>32</v>
      </c>
      <c r="Q5" s="57" t="s">
        <v>108</v>
      </c>
      <c r="R5" s="38" t="s">
        <v>36</v>
      </c>
      <c r="S5" s="39"/>
      <c r="T5" s="39"/>
      <c r="U5" s="41"/>
    </row>
    <row r="6" ht="63.75" customHeight="1">
      <c r="A6" s="22" t="s">
        <v>109</v>
      </c>
      <c r="B6" s="23">
        <v>20.0</v>
      </c>
      <c r="C6" s="24">
        <f t="shared" si="1"/>
        <v>23</v>
      </c>
      <c r="D6" s="25" t="s">
        <v>32</v>
      </c>
      <c r="E6" s="30" t="s">
        <v>32</v>
      </c>
      <c r="F6" s="30" t="s">
        <v>32</v>
      </c>
      <c r="G6" s="53" t="s">
        <v>101</v>
      </c>
      <c r="H6" s="30" t="s">
        <v>40</v>
      </c>
      <c r="I6" s="31" t="s">
        <v>31</v>
      </c>
      <c r="J6" s="32" t="s">
        <v>51</v>
      </c>
      <c r="K6" s="31" t="s">
        <v>110</v>
      </c>
      <c r="L6" s="33" t="s">
        <v>43</v>
      </c>
      <c r="M6" s="34" t="s">
        <v>34</v>
      </c>
      <c r="N6" s="35" t="s">
        <v>32</v>
      </c>
      <c r="O6" s="55" t="s">
        <v>55</v>
      </c>
      <c r="P6" s="56" t="s">
        <v>32</v>
      </c>
      <c r="Q6" s="57" t="s">
        <v>111</v>
      </c>
      <c r="R6" s="38" t="s">
        <v>36</v>
      </c>
      <c r="S6" s="39"/>
      <c r="T6" s="39"/>
      <c r="U6" s="41"/>
    </row>
    <row r="7" ht="63.75" customHeight="1">
      <c r="A7" s="22" t="s">
        <v>112</v>
      </c>
      <c r="B7" s="23">
        <v>25.0</v>
      </c>
      <c r="C7" s="24">
        <f t="shared" si="1"/>
        <v>28.75</v>
      </c>
      <c r="D7" s="25" t="s">
        <v>32</v>
      </c>
      <c r="E7" s="30" t="s">
        <v>32</v>
      </c>
      <c r="F7" s="30" t="s">
        <v>32</v>
      </c>
      <c r="G7" s="53" t="s">
        <v>106</v>
      </c>
      <c r="H7" s="30" t="s">
        <v>49</v>
      </c>
      <c r="I7" s="31" t="s">
        <v>50</v>
      </c>
      <c r="J7" s="32" t="s">
        <v>51</v>
      </c>
      <c r="K7" s="31" t="s">
        <v>59</v>
      </c>
      <c r="L7" s="33" t="s">
        <v>43</v>
      </c>
      <c r="M7" s="34" t="s">
        <v>34</v>
      </c>
      <c r="N7" s="45" t="s">
        <v>60</v>
      </c>
      <c r="O7" s="55" t="s">
        <v>55</v>
      </c>
      <c r="P7" s="56" t="s">
        <v>32</v>
      </c>
      <c r="Q7" s="58" t="s">
        <v>113</v>
      </c>
      <c r="R7" s="38" t="s">
        <v>36</v>
      </c>
      <c r="S7" s="39"/>
      <c r="T7" s="39"/>
      <c r="U7" s="41"/>
    </row>
    <row r="8" ht="78.0" customHeight="1">
      <c r="A8" s="22" t="s">
        <v>114</v>
      </c>
      <c r="B8" s="23">
        <v>35.0</v>
      </c>
      <c r="C8" s="24">
        <f t="shared" si="1"/>
        <v>40.25</v>
      </c>
      <c r="D8" s="25" t="s">
        <v>32</v>
      </c>
      <c r="E8" s="30" t="s">
        <v>32</v>
      </c>
      <c r="F8" s="30" t="s">
        <v>32</v>
      </c>
      <c r="G8" s="53" t="s">
        <v>115</v>
      </c>
      <c r="H8" s="30" t="s">
        <v>116</v>
      </c>
      <c r="I8" s="31" t="s">
        <v>117</v>
      </c>
      <c r="J8" s="32" t="s">
        <v>51</v>
      </c>
      <c r="K8" s="31" t="s">
        <v>59</v>
      </c>
      <c r="L8" s="33" t="s">
        <v>43</v>
      </c>
      <c r="M8" s="34" t="s">
        <v>34</v>
      </c>
      <c r="N8" s="45" t="s">
        <v>66</v>
      </c>
      <c r="O8" s="55" t="s">
        <v>55</v>
      </c>
      <c r="P8" s="56" t="s">
        <v>32</v>
      </c>
      <c r="Q8" s="58" t="s">
        <v>118</v>
      </c>
      <c r="R8" s="38" t="s">
        <v>36</v>
      </c>
      <c r="S8" s="39"/>
      <c r="T8" s="39"/>
      <c r="U8" s="41"/>
    </row>
    <row r="9" ht="63.75" customHeight="1">
      <c r="A9" s="22" t="s">
        <v>119</v>
      </c>
      <c r="B9" s="23">
        <v>50.0</v>
      </c>
      <c r="C9" s="24">
        <f t="shared" si="1"/>
        <v>57.5</v>
      </c>
      <c r="D9" s="25" t="s">
        <v>32</v>
      </c>
      <c r="E9" s="30" t="s">
        <v>32</v>
      </c>
      <c r="F9" s="30" t="s">
        <v>32</v>
      </c>
      <c r="G9" s="53" t="s">
        <v>120</v>
      </c>
      <c r="H9" s="30" t="s">
        <v>121</v>
      </c>
      <c r="I9" s="31" t="s">
        <v>77</v>
      </c>
      <c r="J9" s="32" t="s">
        <v>51</v>
      </c>
      <c r="K9" s="31" t="s">
        <v>59</v>
      </c>
      <c r="L9" s="33" t="s">
        <v>43</v>
      </c>
      <c r="M9" s="34" t="s">
        <v>34</v>
      </c>
      <c r="N9" s="45" t="s">
        <v>72</v>
      </c>
      <c r="O9" s="55" t="s">
        <v>55</v>
      </c>
      <c r="P9" s="56" t="s">
        <v>32</v>
      </c>
      <c r="Q9" s="58" t="s">
        <v>122</v>
      </c>
      <c r="R9" s="38" t="s">
        <v>36</v>
      </c>
      <c r="S9" s="39"/>
      <c r="T9" s="39"/>
      <c r="U9" s="41"/>
    </row>
  </sheetData>
  <mergeCells count="2">
    <mergeCell ref="H2:P2"/>
    <mergeCell ref="Q2:U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showGridLines="0" workbookViewId="0"/>
  </sheetViews>
  <sheetFormatPr customHeight="1" defaultColWidth="14.43" defaultRowHeight="15.0"/>
  <sheetData>
    <row r="2">
      <c r="B2" s="47" t="s">
        <v>123</v>
      </c>
    </row>
    <row r="3">
      <c r="B3" s="48"/>
    </row>
    <row r="4">
      <c r="B4" s="47" t="s">
        <v>124</v>
      </c>
    </row>
    <row r="5">
      <c r="B5" s="48"/>
    </row>
    <row r="6">
      <c r="B6" s="47" t="s">
        <v>125</v>
      </c>
    </row>
    <row r="7">
      <c r="B7" s="48"/>
    </row>
    <row r="8">
      <c r="B8" s="47" t="s">
        <v>82</v>
      </c>
    </row>
    <row r="9">
      <c r="B9" s="48"/>
    </row>
    <row r="10">
      <c r="B10" s="47" t="s">
        <v>126</v>
      </c>
    </row>
    <row r="11">
      <c r="B11" s="48"/>
    </row>
    <row r="12">
      <c r="B12" s="47" t="s">
        <v>84</v>
      </c>
    </row>
    <row r="13">
      <c r="B13" s="48"/>
    </row>
    <row r="14">
      <c r="B14" s="47" t="s">
        <v>85</v>
      </c>
    </row>
    <row r="15">
      <c r="B15" s="48"/>
    </row>
    <row r="16">
      <c r="B16" s="47" t="s">
        <v>86</v>
      </c>
    </row>
    <row r="17">
      <c r="B17" s="48"/>
    </row>
    <row r="18">
      <c r="B18" s="47" t="s">
        <v>87</v>
      </c>
    </row>
    <row r="19">
      <c r="B19" s="48"/>
    </row>
    <row r="20">
      <c r="B20" s="47" t="s">
        <v>88</v>
      </c>
    </row>
    <row r="22">
      <c r="B22" s="49" t="s">
        <v>89</v>
      </c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</row>
    <row r="24">
      <c r="B24" s="47" t="s">
        <v>90</v>
      </c>
    </row>
    <row r="25">
      <c r="B25" s="48"/>
    </row>
    <row r="26">
      <c r="B26" s="47" t="s">
        <v>91</v>
      </c>
    </row>
    <row r="27">
      <c r="B27" s="48"/>
    </row>
    <row r="28">
      <c r="B28" s="47" t="s">
        <v>92</v>
      </c>
    </row>
    <row r="29">
      <c r="B29" s="48"/>
    </row>
    <row r="30">
      <c r="B30" s="47" t="s">
        <v>93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