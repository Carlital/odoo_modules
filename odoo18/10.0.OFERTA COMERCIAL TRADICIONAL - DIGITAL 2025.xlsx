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odules\odoo18\"/>
    </mc:Choice>
  </mc:AlternateContent>
  <xr:revisionPtr revIDLastSave="0" documentId="13_ncr:1_{2A7E6C00-08EA-4D88-B3C6-1720694C6407}" xr6:coauthVersionLast="47" xr6:coauthVersionMax="47" xr10:uidLastSave="{00000000-0000-0000-0000-000000000000}"/>
  <bookViews>
    <workbookView xWindow="10140" yWindow="0" windowWidth="10455" windowHeight="10905" firstSheet="3" activeTab="3" xr2:uid="{00000000-000D-0000-FFFF-FFFF00000000}"/>
  </bookViews>
  <sheets>
    <sheet name="GUIA TRADICIONAL" sheetId="1" r:id="rId1"/>
    <sheet name="GUIA DIGITAL" sheetId="2" r:id="rId2"/>
    <sheet name="PLAN ADULTO MAYOR Y DISCAPACIDA" sheetId="3" r:id="rId3"/>
    <sheet name="PLAN UBER" sheetId="4" r:id="rId4"/>
    <sheet name="PLAN ESSENTIAL-MIGRACIONES" sheetId="5" state="hidden" r:id="rId5"/>
    <sheet name="PREGUNTAS FRECUEN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D4" i="4" s="1"/>
  <c r="D5" i="3"/>
  <c r="C5" i="3"/>
  <c r="C4" i="3"/>
  <c r="D4" i="3" s="1"/>
  <c r="E11" i="2"/>
  <c r="C11" i="2"/>
  <c r="C10" i="2"/>
  <c r="E10" i="2" s="1"/>
  <c r="E9" i="2"/>
  <c r="C9" i="2"/>
  <c r="C8" i="2"/>
  <c r="E8" i="2" s="1"/>
  <c r="E7" i="2"/>
  <c r="C7" i="2"/>
  <c r="C6" i="2"/>
  <c r="E6" i="2" s="1"/>
  <c r="E5" i="2"/>
  <c r="C5" i="2"/>
  <c r="C4" i="2"/>
  <c r="E4" i="2" s="1"/>
  <c r="E12" i="1"/>
  <c r="C12" i="1"/>
  <c r="C11" i="1"/>
  <c r="E11" i="1" s="1"/>
  <c r="E10" i="1"/>
  <c r="C10" i="1"/>
  <c r="C9" i="1"/>
  <c r="E9" i="1" s="1"/>
  <c r="E8" i="1"/>
  <c r="C8" i="1"/>
  <c r="C7" i="1"/>
  <c r="E7" i="1" s="1"/>
  <c r="E6" i="1"/>
  <c r="C6" i="1"/>
  <c r="C5" i="1"/>
  <c r="E5" i="1" s="1"/>
  <c r="C4" i="1"/>
</calcChain>
</file>

<file path=xl/sharedStrings.xml><?xml version="1.0" encoding="utf-8"?>
<sst xmlns="http://schemas.openxmlformats.org/spreadsheetml/2006/main" count="363" uniqueCount="120">
  <si>
    <t>PORTABILIDADES Y ALTAS NUEVAS</t>
  </si>
  <si>
    <t>DATOS</t>
  </si>
  <si>
    <t>MINUTOS</t>
  </si>
  <si>
    <t>PLAN</t>
  </si>
  <si>
    <t>TARIFA BASICA</t>
  </si>
  <si>
    <t>TARIFA BASICA CON IMPUESTOS</t>
  </si>
  <si>
    <t>DESCUENTOS PARA PORTABILIDAD Y ALTAS NUEVA
APLICA SOBRE LA TARIFA BASICA</t>
  </si>
  <si>
    <t>TARIFA CON DESCUENTO APLICADO</t>
  </si>
  <si>
    <t>BENEFICIOS EXCLUSIVO MOVISTAR</t>
  </si>
  <si>
    <t>SOLO 
BANCARIZADO</t>
  </si>
  <si>
    <t>NAVEGACION
LIBRE</t>
  </si>
  <si>
    <t>REDES SOCIALES</t>
  </si>
  <si>
    <t>PLATAFORMAS STREAMING</t>
  </si>
  <si>
    <t>WHATSAPP</t>
  </si>
  <si>
    <t>COMPONENTE INTERNACIONAL</t>
  </si>
  <si>
    <t>MAS MUSICA
MAS VIDEO</t>
  </si>
  <si>
    <t>TOTAL DE MEGAS</t>
  </si>
  <si>
    <t>MAS MEGAS
MAS MINUTOS</t>
  </si>
  <si>
    <r>
      <rPr>
        <b/>
        <sz val="15"/>
        <color rgb="FFFFFFFF"/>
        <rFont val="Calibri"/>
      </rPr>
      <t xml:space="preserve">MINUTOS INCLUIDOS               </t>
    </r>
    <r>
      <rPr>
        <b/>
        <sz val="15"/>
        <color rgb="FFFFFF00"/>
        <rFont val="Calibri"/>
      </rPr>
      <t xml:space="preserve"> (OTRAS OP. MOVILES)</t>
    </r>
  </si>
  <si>
    <t>LLAMADAS MOVISTAR</t>
  </si>
  <si>
    <t>MUNDO</t>
  </si>
  <si>
    <t>SMS TODO DESTINO</t>
  </si>
  <si>
    <t xml:space="preserve">FAMILIA Y AMIGOS (TITULAR + 2 BENEFICIARIOS) *444  </t>
  </si>
  <si>
    <t>PREVIOPAGO PLAN MOVISTAR ONYX</t>
  </si>
  <si>
    <t>N/A</t>
  </si>
  <si>
    <t>CLUB MOVISTAR</t>
  </si>
  <si>
    <t>10 GB</t>
  </si>
  <si>
    <t>4GB</t>
  </si>
  <si>
    <t>2 GB</t>
  </si>
  <si>
    <t>LIBRE</t>
  </si>
  <si>
    <t>16 GB</t>
  </si>
  <si>
    <t>200 MB X $ 1
12 MIN X $ 1</t>
  </si>
  <si>
    <t>130 MINUTOS</t>
  </si>
  <si>
    <t>ILIMITADOS</t>
  </si>
  <si>
    <t>PREVIOPAGO PLAN MOVISTAR STARTER PRIME</t>
  </si>
  <si>
    <t>20% x 3 MESES</t>
  </si>
  <si>
    <t xml:space="preserve"> 5 GB x 3 meses</t>
  </si>
  <si>
    <t xml:space="preserve">4 GB     </t>
  </si>
  <si>
    <t xml:space="preserve">18 GB </t>
  </si>
  <si>
    <t>500 MB X $ 3
12 MIN X $ 1</t>
  </si>
  <si>
    <r>
      <rPr>
        <b/>
        <sz val="11"/>
        <color rgb="FFFFFFFF"/>
        <rFont val="Montserrat"/>
      </rPr>
      <t>150</t>
    </r>
    <r>
      <rPr>
        <b/>
        <sz val="11"/>
        <color rgb="FFFFFFFF"/>
        <rFont val="Montserrat"/>
      </rPr>
      <t xml:space="preserve"> MINUTOS</t>
    </r>
  </si>
  <si>
    <t>PREVIOPAGO PLAN MOVISTAR BASIC PRIME</t>
  </si>
  <si>
    <t>$15,99</t>
  </si>
  <si>
    <t xml:space="preserve">12 GB </t>
  </si>
  <si>
    <t>LIBRE
HASTA JUNIO 2026</t>
  </si>
  <si>
    <t xml:space="preserve">20 GB </t>
  </si>
  <si>
    <r>
      <rPr>
        <b/>
        <sz val="11"/>
        <color rgb="FFFFFFFF"/>
        <rFont val="Montserrat"/>
      </rPr>
      <t>200</t>
    </r>
    <r>
      <rPr>
        <b/>
        <sz val="11"/>
        <color rgb="FFFFFFFF"/>
        <rFont val="Montserrat"/>
      </rPr>
      <t xml:space="preserve"> MINUTOS</t>
    </r>
  </si>
  <si>
    <t>PREVIOPAGO PLAN MOVISTAR BRONZE PRIME</t>
  </si>
  <si>
    <t>$18,39</t>
  </si>
  <si>
    <t xml:space="preserve">14 GB </t>
  </si>
  <si>
    <t>LIBRES</t>
  </si>
  <si>
    <t xml:space="preserve">6 GB     </t>
  </si>
  <si>
    <r>
      <rPr>
        <b/>
        <sz val="11"/>
        <color rgb="FFFFFFFF"/>
        <rFont val="Montserrat"/>
      </rPr>
      <t>300</t>
    </r>
    <r>
      <rPr>
        <b/>
        <sz val="11"/>
        <color rgb="FFFFFFFF"/>
        <rFont val="Montserrat"/>
      </rPr>
      <t xml:space="preserve"> MINUTOS</t>
    </r>
  </si>
  <si>
    <t>PREVIOPAGO PLAN MOVISTAR SILVER PRIME</t>
  </si>
  <si>
    <t>$23,39</t>
  </si>
  <si>
    <t xml:space="preserve">16 GB </t>
  </si>
  <si>
    <t xml:space="preserve">9 GB     </t>
  </si>
  <si>
    <t xml:space="preserve">25 GB </t>
  </si>
  <si>
    <r>
      <rPr>
        <b/>
        <sz val="11"/>
        <color rgb="FFFFFFFF"/>
        <rFont val="Montserrat"/>
      </rPr>
      <t>500</t>
    </r>
    <r>
      <rPr>
        <b/>
        <sz val="11"/>
        <color rgb="FFFFFFFF"/>
        <rFont val="Montserrat"/>
      </rPr>
      <t xml:space="preserve"> MINUTOS</t>
    </r>
  </si>
  <si>
    <t>PREVIOPAGO PLAN MOVISTAR GOLD PRIME</t>
  </si>
  <si>
    <t>$27,49</t>
  </si>
  <si>
    <t xml:space="preserve">22 GB </t>
  </si>
  <si>
    <t xml:space="preserve">10 GB     </t>
  </si>
  <si>
    <t>ROAMING PASAPORTE SALVAVIDAS</t>
  </si>
  <si>
    <t xml:space="preserve">32 GB </t>
  </si>
  <si>
    <r>
      <rPr>
        <b/>
        <sz val="11"/>
        <color rgb="FFFFFFFF"/>
        <rFont val="Montserrat"/>
      </rPr>
      <t>ILIMITADO</t>
    </r>
    <r>
      <rPr>
        <b/>
        <sz val="11"/>
        <color rgb="FFFFFFFF"/>
        <rFont val="Montserrat"/>
      </rPr>
      <t xml:space="preserve"> OP. MOVILES</t>
    </r>
  </si>
  <si>
    <t>PREVIOPAGO PLAN MOVISTAR PLATINUM PRIME</t>
  </si>
  <si>
    <t>$33,99</t>
  </si>
  <si>
    <t xml:space="preserve">30 GB </t>
  </si>
  <si>
    <t xml:space="preserve">12 GB     </t>
  </si>
  <si>
    <t>ROAMING PASAPORTE MOVISTAR</t>
  </si>
  <si>
    <t xml:space="preserve">42 GB </t>
  </si>
  <si>
    <r>
      <rPr>
        <b/>
        <sz val="11"/>
        <color rgb="FFFFFFFF"/>
        <rFont val="Montserrat"/>
      </rPr>
      <t>ILIMITADO</t>
    </r>
    <r>
      <rPr>
        <b/>
        <sz val="11"/>
        <color rgb="FFFFFFFF"/>
        <rFont val="Montserrat"/>
      </rPr>
      <t xml:space="preserve"> OP. MOVILES</t>
    </r>
  </si>
  <si>
    <t>PREVIOPAGO PLAN MOVISTAR SAPPHIRE PRIME</t>
  </si>
  <si>
    <t>$37,99</t>
  </si>
  <si>
    <t xml:space="preserve">45 GB </t>
  </si>
  <si>
    <t xml:space="preserve">18 GB     </t>
  </si>
  <si>
    <t xml:space="preserve">63 GB </t>
  </si>
  <si>
    <r>
      <rPr>
        <b/>
        <sz val="11"/>
        <color rgb="FFFFFFFF"/>
        <rFont val="Montserrat"/>
      </rPr>
      <t>ILIMITADO</t>
    </r>
    <r>
      <rPr>
        <b/>
        <sz val="11"/>
        <color rgb="FFFFFFFF"/>
        <rFont val="Montserrat"/>
      </rPr>
      <t xml:space="preserve"> OP. MOVILES</t>
    </r>
  </si>
  <si>
    <t>PREVIOPAGO PLAN MOVISTAR DIAMOND PRIME</t>
  </si>
  <si>
    <t>$59,99</t>
  </si>
  <si>
    <t xml:space="preserve">80 GB </t>
  </si>
  <si>
    <t xml:space="preserve">25 GB     </t>
  </si>
  <si>
    <t>ROAMING PASAPORTE EJECUTIVO</t>
  </si>
  <si>
    <t>LIBRE
12 MESES</t>
  </si>
  <si>
    <t xml:space="preserve">105 GB </t>
  </si>
  <si>
    <r>
      <rPr>
        <b/>
        <sz val="11"/>
        <color rgb="FFFFFFFF"/>
        <rFont val="Montserrat"/>
      </rPr>
      <t>ILIMITADO</t>
    </r>
    <r>
      <rPr>
        <b/>
        <sz val="11"/>
        <color rgb="FFFFFFFF"/>
        <rFont val="Montserrat"/>
      </rPr>
      <t xml:space="preserve"> OP. MOVILES</t>
    </r>
  </si>
  <si>
    <r>
      <rPr>
        <b/>
        <sz val="15"/>
        <color rgb="FFFFFFFF"/>
        <rFont val="Calibri"/>
      </rPr>
      <t xml:space="preserve">MINUTOS INCLUIDOS               </t>
    </r>
    <r>
      <rPr>
        <b/>
        <sz val="15"/>
        <color rgb="FFFFFF00"/>
        <rFont val="Calibri"/>
      </rPr>
      <t xml:space="preserve"> (OTRAS OP. MOVILES)</t>
    </r>
  </si>
  <si>
    <r>
      <rPr>
        <b/>
        <sz val="11"/>
        <color rgb="FFFFFFFF"/>
        <rFont val="Montserrat"/>
      </rPr>
      <t>150</t>
    </r>
    <r>
      <rPr>
        <b/>
        <sz val="11"/>
        <color rgb="FFFFFFFF"/>
        <rFont val="Montserrat"/>
      </rPr>
      <t xml:space="preserve"> MINUTOS</t>
    </r>
  </si>
  <si>
    <r>
      <rPr>
        <b/>
        <sz val="11"/>
        <color rgb="FFFFFFFF"/>
        <rFont val="Montserrat"/>
      </rPr>
      <t>200</t>
    </r>
    <r>
      <rPr>
        <b/>
        <sz val="11"/>
        <color rgb="FFFFFFFF"/>
        <rFont val="Montserrat"/>
      </rPr>
      <t xml:space="preserve"> MINUTOS</t>
    </r>
  </si>
  <si>
    <r>
      <rPr>
        <b/>
        <sz val="11"/>
        <color rgb="FFFFFFFF"/>
        <rFont val="Montserrat"/>
      </rPr>
      <t>300</t>
    </r>
    <r>
      <rPr>
        <b/>
        <sz val="11"/>
        <color rgb="FFFFFFFF"/>
        <rFont val="Montserrat"/>
      </rPr>
      <t xml:space="preserve"> MINUTOS</t>
    </r>
  </si>
  <si>
    <r>
      <rPr>
        <b/>
        <sz val="11"/>
        <color rgb="FFFFFFFF"/>
        <rFont val="Montserrat"/>
      </rPr>
      <t>500</t>
    </r>
    <r>
      <rPr>
        <b/>
        <sz val="11"/>
        <color rgb="FFFFFFFF"/>
        <rFont val="Montserrat"/>
      </rPr>
      <t xml:space="preserve"> MINUTOS</t>
    </r>
  </si>
  <si>
    <r>
      <rPr>
        <b/>
        <sz val="11"/>
        <color rgb="FFFFFFFF"/>
        <rFont val="Montserrat"/>
      </rPr>
      <t>ILIMITADO</t>
    </r>
    <r>
      <rPr>
        <b/>
        <sz val="11"/>
        <color rgb="FFFFFFFF"/>
        <rFont val="Montserrat"/>
      </rPr>
      <t xml:space="preserve"> OP. MOVILES</t>
    </r>
  </si>
  <si>
    <r>
      <rPr>
        <b/>
        <sz val="11"/>
        <color rgb="FFFFFFFF"/>
        <rFont val="Montserrat"/>
      </rPr>
      <t>ILIMITADO</t>
    </r>
    <r>
      <rPr>
        <b/>
        <sz val="11"/>
        <color rgb="FFFFFFFF"/>
        <rFont val="Montserrat"/>
      </rPr>
      <t xml:space="preserve"> OP. MOVILES</t>
    </r>
  </si>
  <si>
    <r>
      <rPr>
        <b/>
        <sz val="11"/>
        <color rgb="FFFFFFFF"/>
        <rFont val="Montserrat"/>
      </rPr>
      <t>ILIMITADO</t>
    </r>
    <r>
      <rPr>
        <b/>
        <sz val="11"/>
        <color rgb="FFFFFFFF"/>
        <rFont val="Montserrat"/>
      </rPr>
      <t xml:space="preserve"> OP. MOVILES</t>
    </r>
  </si>
  <si>
    <r>
      <rPr>
        <b/>
        <sz val="11"/>
        <color rgb="FFFFFFFF"/>
        <rFont val="Montserrat"/>
      </rPr>
      <t>ILIMITADO</t>
    </r>
    <r>
      <rPr>
        <b/>
        <sz val="11"/>
        <color rgb="FFFFFFFF"/>
        <rFont val="Montserrat"/>
      </rPr>
      <t xml:space="preserve"> OP. MOVILES</t>
    </r>
  </si>
  <si>
    <t>TARIFA BASICA CON IMPUESTOS RUC NATURAL</t>
  </si>
  <si>
    <r>
      <rPr>
        <b/>
        <sz val="25"/>
        <color rgb="FFFF0000"/>
        <rFont val="Lexend"/>
      </rPr>
      <t>50%</t>
    </r>
    <r>
      <rPr>
        <b/>
        <sz val="10"/>
        <color rgb="FFFF0000"/>
        <rFont val="Lexend"/>
      </rPr>
      <t xml:space="preserve"> </t>
    </r>
    <r>
      <rPr>
        <b/>
        <sz val="15"/>
        <color rgb="FFFF0000"/>
        <rFont val="Lexend"/>
      </rPr>
      <t>DESC.</t>
    </r>
  </si>
  <si>
    <t>GIGAS DE PRODUCTIVIDAD</t>
  </si>
  <si>
    <r>
      <rPr>
        <b/>
        <sz val="15"/>
        <color rgb="FFFFFFFF"/>
        <rFont val="Calibri"/>
      </rPr>
      <t xml:space="preserve">MINUTOS INCLUIDOS               </t>
    </r>
    <r>
      <rPr>
        <b/>
        <sz val="15"/>
        <color rgb="FFFFFF00"/>
        <rFont val="Calibri"/>
      </rPr>
      <t xml:space="preserve"> (OTRAS OP. MOVILES)</t>
    </r>
  </si>
  <si>
    <t>PREVIOPAGO PLAN ADULTO MAYOR</t>
  </si>
  <si>
    <t>5 GB</t>
  </si>
  <si>
    <t>7 GB</t>
  </si>
  <si>
    <r>
      <rPr>
        <b/>
        <sz val="12"/>
        <color rgb="FFFFFFFF"/>
        <rFont val="Montserrat"/>
      </rPr>
      <t>200</t>
    </r>
    <r>
      <rPr>
        <b/>
        <sz val="12"/>
        <color rgb="FFFFFFFF"/>
        <rFont val="Montserrat"/>
      </rPr>
      <t xml:space="preserve"> MINUTOS</t>
    </r>
  </si>
  <si>
    <r>
      <rPr>
        <b/>
        <sz val="15"/>
        <color rgb="FFFFFFFF"/>
        <rFont val="Montserrat"/>
      </rPr>
      <t>ILIMITADO</t>
    </r>
    <r>
      <rPr>
        <b/>
        <sz val="12"/>
        <color rgb="FFFFFFFF"/>
        <rFont val="Montserrat"/>
      </rPr>
      <t xml:space="preserve"> OP. MOVILES</t>
    </r>
  </si>
  <si>
    <t>PREVIOPAGO PLAN CONFORT</t>
  </si>
  <si>
    <t>10GB</t>
  </si>
  <si>
    <t>NAVEGACION 
LIBRE</t>
  </si>
  <si>
    <t>2GB</t>
  </si>
  <si>
    <t>14 GB</t>
  </si>
  <si>
    <r>
      <rPr>
        <b/>
        <sz val="12"/>
        <color rgb="FFFFFFFF"/>
        <rFont val="Montserrat"/>
      </rPr>
      <t>300</t>
    </r>
    <r>
      <rPr>
        <b/>
        <sz val="12"/>
        <color rgb="FFFFFFFF"/>
        <rFont val="Montserrat"/>
      </rPr>
      <t xml:space="preserve"> MINUTOS</t>
    </r>
  </si>
  <si>
    <r>
      <rPr>
        <b/>
        <sz val="15"/>
        <color rgb="FFFFFFFF"/>
        <rFont val="Montserrat"/>
      </rPr>
      <t>ILIMITADO</t>
    </r>
    <r>
      <rPr>
        <b/>
        <sz val="12"/>
        <color rgb="FFFFFFFF"/>
        <rFont val="Montserrat"/>
      </rPr>
      <t xml:space="preserve"> OP. MOVILES</t>
    </r>
  </si>
  <si>
    <r>
      <rPr>
        <b/>
        <sz val="25"/>
        <color rgb="FFFF0000"/>
        <rFont val="Lexend"/>
      </rPr>
      <t>30%</t>
    </r>
    <r>
      <rPr>
        <b/>
        <sz val="10"/>
        <color rgb="FFFF0000"/>
        <rFont val="Lexend"/>
      </rPr>
      <t xml:space="preserve"> </t>
    </r>
    <r>
      <rPr>
        <b/>
        <sz val="15"/>
        <color rgb="FFFF0000"/>
        <rFont val="Lexend"/>
      </rPr>
      <t>DESC.
  x</t>
    </r>
    <r>
      <rPr>
        <b/>
        <sz val="20"/>
        <color rgb="FFFF0000"/>
        <rFont val="Lexend"/>
      </rPr>
      <t xml:space="preserve"> 3 MESES</t>
    </r>
  </si>
  <si>
    <r>
      <rPr>
        <b/>
        <sz val="15"/>
        <color rgb="FFFFFFFF"/>
        <rFont val="Calibri"/>
      </rPr>
      <t xml:space="preserve">MINUTOS INCLUIDOS               </t>
    </r>
    <r>
      <rPr>
        <b/>
        <sz val="15"/>
        <color rgb="FFFFFF00"/>
        <rFont val="Calibri"/>
      </rPr>
      <t xml:space="preserve"> (OTRAS OP. MOVILES)</t>
    </r>
  </si>
  <si>
    <t xml:space="preserve">PREVIOPAGO PLAN MOVISTAR UBER </t>
  </si>
  <si>
    <t>5 GB x 3 MESES</t>
  </si>
  <si>
    <r>
      <rPr>
        <b/>
        <sz val="12"/>
        <color rgb="FFFFFFFF"/>
        <rFont val="Montserrat"/>
      </rPr>
      <t xml:space="preserve">NAVEGACION </t>
    </r>
    <r>
      <rPr>
        <b/>
        <sz val="12"/>
        <color rgb="FFFFFFFF"/>
        <rFont val="Montserrat"/>
      </rPr>
      <t xml:space="preserve">
LIBRE</t>
    </r>
  </si>
  <si>
    <t>19 GB</t>
  </si>
  <si>
    <r>
      <rPr>
        <b/>
        <sz val="11"/>
        <color rgb="FFFFFFFF"/>
        <rFont val="Montserrat"/>
      </rPr>
      <t>200</t>
    </r>
    <r>
      <rPr>
        <b/>
        <sz val="11"/>
        <color rgb="FFFFFFFF"/>
        <rFont val="Montserrat"/>
      </rPr>
      <t xml:space="preserve"> MINUTOS</t>
    </r>
  </si>
  <si>
    <r>
      <rPr>
        <b/>
        <sz val="15"/>
        <color rgb="FFFFFFFF"/>
        <rFont val="Montserrat"/>
      </rPr>
      <t>ILIMITADO</t>
    </r>
    <r>
      <rPr>
        <b/>
        <sz val="12"/>
        <color rgb="FFFFFFFF"/>
        <rFont val="Montserrat"/>
      </rPr>
      <t xml:space="preserve"> OP. MOVILES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</si>
</sst>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$]#,##0.00"/>
    <numFmt numFmtId="166" formatCode="&quot;$&quot;#,##0"/>
  </numFmts>
  <fonts count="41">
    <font>
      <sz val="11"/>
      <color theme="1"/>
      <name val="Calibri"/>
      <scheme val="minor"/>
    </font>
    <font>
      <sz val="9"/>
      <color theme="1"/>
      <name val="Calibri"/>
    </font>
    <font>
      <sz val="10"/>
      <color theme="1"/>
      <name val="Calibri"/>
    </font>
    <font>
      <b/>
      <sz val="14"/>
      <color rgb="FFFFFFFF"/>
      <name val="Lexend"/>
    </font>
    <font>
      <sz val="11"/>
      <name val="Calibri"/>
    </font>
    <font>
      <b/>
      <sz val="24"/>
      <color theme="0"/>
      <name val="Montserrat"/>
    </font>
    <font>
      <b/>
      <sz val="16"/>
      <color rgb="FFFFFFFF"/>
      <name val="Montserrat"/>
    </font>
    <font>
      <b/>
      <sz val="15"/>
      <color rgb="FFFFFFFF"/>
      <name val="Calibri"/>
    </font>
    <font>
      <b/>
      <sz val="10"/>
      <color rgb="FF0B5394"/>
      <name val="Lexend"/>
    </font>
    <font>
      <b/>
      <sz val="10"/>
      <color rgb="FFFFFFFF"/>
      <name val="Lexend"/>
    </font>
    <font>
      <b/>
      <sz val="11"/>
      <color rgb="FF1C4587"/>
      <name val="Montserrat"/>
    </font>
    <font>
      <b/>
      <sz val="11"/>
      <color rgb="FFFFFFFF"/>
      <name val="Calibri"/>
    </font>
    <font>
      <b/>
      <sz val="10"/>
      <color rgb="FFFFFFFF"/>
      <name val="Calibri"/>
    </font>
    <font>
      <b/>
      <sz val="20"/>
      <color rgb="FFFFFFFF"/>
      <name val="Lucida Sans"/>
    </font>
    <font>
      <b/>
      <sz val="12"/>
      <color rgb="FFFFFFFF"/>
      <name val="Calibri"/>
    </font>
    <font>
      <b/>
      <sz val="16"/>
      <color rgb="FF2E75B5"/>
      <name val="Montserrat"/>
    </font>
    <font>
      <b/>
      <sz val="16"/>
      <color rgb="FF0B5394"/>
      <name val="Montserrat"/>
    </font>
    <font>
      <b/>
      <sz val="16"/>
      <color rgb="FFFFFF00"/>
      <name val="Montserrat"/>
    </font>
    <font>
      <b/>
      <sz val="14"/>
      <color rgb="FFFFFFFF"/>
      <name val="Montserrat"/>
    </font>
    <font>
      <b/>
      <sz val="10"/>
      <color rgb="FFFFFFFF"/>
      <name val="Montserrat"/>
    </font>
    <font>
      <b/>
      <sz val="16"/>
      <color rgb="FF1155CC"/>
      <name val="Montserrat"/>
    </font>
    <font>
      <b/>
      <sz val="12"/>
      <color rgb="FF2E75B5"/>
      <name val="Montserrat"/>
    </font>
    <font>
      <b/>
      <sz val="14"/>
      <color rgb="FF2E75B5"/>
      <name val="Montserrat"/>
    </font>
    <font>
      <b/>
      <sz val="12"/>
      <color theme="4"/>
      <name val="Montserrat"/>
    </font>
    <font>
      <b/>
      <sz val="11"/>
      <color rgb="FFFFFFFF"/>
      <name val="Montserrat"/>
    </font>
    <font>
      <b/>
      <sz val="12"/>
      <color rgb="FF1155CC"/>
      <name val="Montserrat"/>
    </font>
    <font>
      <b/>
      <sz val="10"/>
      <color rgb="FF2E75B5"/>
      <name val="Movistar text"/>
    </font>
    <font>
      <b/>
      <sz val="16"/>
      <color rgb="FF1C4587"/>
      <name val="Montserrat"/>
    </font>
    <font>
      <b/>
      <sz val="9"/>
      <color rgb="FF2E75B5"/>
      <name val="Montserrat"/>
    </font>
    <font>
      <b/>
      <sz val="11"/>
      <color rgb="FF2E75B5"/>
      <name val="Montserrat"/>
    </font>
    <font>
      <b/>
      <sz val="24"/>
      <color rgb="FFFFFFFF"/>
      <name val="Montserrat"/>
    </font>
    <font>
      <b/>
      <sz val="16"/>
      <color rgb="FF0B5394"/>
      <name val="Impact"/>
    </font>
    <font>
      <b/>
      <sz val="16"/>
      <color rgb="FF0000FF"/>
      <name val="Montserrat"/>
    </font>
    <font>
      <b/>
      <sz val="12"/>
      <color rgb="FFFFFFFF"/>
      <name val="Montserrat"/>
    </font>
    <font>
      <b/>
      <sz val="12"/>
      <color rgb="FF0B5394"/>
      <name val="Impact"/>
    </font>
    <font>
      <b/>
      <sz val="15"/>
      <color rgb="FFFFFF00"/>
      <name val="Calibri"/>
    </font>
    <font>
      <b/>
      <sz val="25"/>
      <color rgb="FFFF0000"/>
      <name val="Lexend"/>
    </font>
    <font>
      <b/>
      <sz val="10"/>
      <color rgb="FFFF0000"/>
      <name val="Lexend"/>
    </font>
    <font>
      <b/>
      <sz val="15"/>
      <color rgb="FFFF0000"/>
      <name val="Lexend"/>
    </font>
    <font>
      <b/>
      <sz val="15"/>
      <color rgb="FFFFFFFF"/>
      <name val="Montserrat"/>
    </font>
    <font>
      <b/>
      <sz val="20"/>
      <color rgb="FFFF0000"/>
      <name val="Lexend"/>
    </font>
  </fonts>
  <fills count="18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073763"/>
        <bgColor rgb="FF073763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3C78D8"/>
        <bgColor rgb="FF3C78D8"/>
      </patternFill>
    </fill>
    <fill>
      <patternFill patternType="solid">
        <fgColor rgb="FF351C75"/>
        <bgColor rgb="FF351C75"/>
      </patternFill>
    </fill>
    <fill>
      <patternFill patternType="solid">
        <fgColor rgb="FF00FF00"/>
        <bgColor rgb="FF00FF00"/>
      </patternFill>
    </fill>
    <fill>
      <patternFill patternType="solid">
        <fgColor rgb="FF1155CC"/>
        <bgColor rgb="FF1155CC"/>
      </patternFill>
    </fill>
    <fill>
      <patternFill patternType="solid">
        <fgColor rgb="FF0BD1EC"/>
        <bgColor rgb="FF0BD1EC"/>
      </patternFill>
    </fill>
    <fill>
      <patternFill patternType="solid">
        <fgColor rgb="FFFFFFFF"/>
        <bgColor rgb="FFFFFFFF"/>
      </patternFill>
    </fill>
    <fill>
      <patternFill patternType="solid">
        <fgColor rgb="FF9EECBA"/>
        <bgColor rgb="FF9EECBA"/>
      </patternFill>
    </fill>
    <fill>
      <patternFill patternType="solid">
        <fgColor rgb="FFEAD1DC"/>
        <bgColor rgb="FFEAD1DC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4A86E8"/>
        <bgColor rgb="FF4A86E8"/>
      </patternFill>
    </fill>
  </fills>
  <borders count="11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64" fontId="7" fillId="2" borderId="6" xfId="0" applyNumberFormat="1" applyFont="1" applyFill="1" applyBorder="1" applyAlignment="1">
      <alignment horizontal="center" vertical="center" wrapText="1"/>
    </xf>
    <xf numFmtId="164" fontId="8" fillId="4" borderId="6" xfId="0" applyNumberFormat="1" applyFont="1" applyFill="1" applyBorder="1" applyAlignment="1">
      <alignment horizontal="center" vertical="center" wrapText="1"/>
    </xf>
    <xf numFmtId="164" fontId="9" fillId="5" borderId="6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wrapText="1"/>
    </xf>
    <xf numFmtId="0" fontId="10" fillId="8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164" fontId="15" fillId="0" borderId="6" xfId="0" applyNumberFormat="1" applyFont="1" applyBorder="1" applyAlignment="1">
      <alignment horizontal="center" vertical="center" wrapText="1"/>
    </xf>
    <xf numFmtId="164" fontId="16" fillId="4" borderId="6" xfId="0" applyNumberFormat="1" applyFont="1" applyFill="1" applyBorder="1" applyAlignment="1">
      <alignment horizontal="center" vertical="center" wrapText="1"/>
    </xf>
    <xf numFmtId="165" fontId="17" fillId="9" borderId="6" xfId="0" applyNumberFormat="1" applyFont="1" applyFill="1" applyBorder="1" applyAlignment="1">
      <alignment horizontal="center"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166" fontId="17" fillId="10" borderId="6" xfId="0" applyNumberFormat="1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11" borderId="9" xfId="0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right" vertical="center" wrapText="1"/>
    </xf>
    <xf numFmtId="0" fontId="22" fillId="12" borderId="10" xfId="0" applyFont="1" applyFill="1" applyBorder="1" applyAlignment="1">
      <alignment horizontal="center" vertical="center" wrapText="1"/>
    </xf>
    <xf numFmtId="0" fontId="23" fillId="13" borderId="9" xfId="0" applyFont="1" applyFill="1" applyBorder="1" applyAlignment="1">
      <alignment horizontal="center" vertical="center"/>
    </xf>
    <xf numFmtId="0" fontId="24" fillId="14" borderId="6" xfId="0" applyFont="1" applyFill="1" applyBorder="1" applyAlignment="1">
      <alignment horizontal="center" vertical="center" wrapText="1"/>
    </xf>
    <xf numFmtId="0" fontId="24" fillId="6" borderId="6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164" fontId="17" fillId="9" borderId="6" xfId="0" applyNumberFormat="1" applyFont="1" applyFill="1" applyBorder="1" applyAlignment="1">
      <alignment horizontal="center" vertical="center" wrapText="1"/>
    </xf>
    <xf numFmtId="165" fontId="27" fillId="15" borderId="6" xfId="0" applyNumberFormat="1" applyFont="1" applyFill="1" applyBorder="1" applyAlignment="1">
      <alignment horizontal="center" vertical="center" wrapText="1"/>
    </xf>
    <xf numFmtId="0" fontId="21" fillId="13" borderId="9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right" vertical="center" wrapText="1"/>
    </xf>
    <xf numFmtId="0" fontId="22" fillId="12" borderId="0" xfId="0" applyFont="1" applyFill="1" applyAlignment="1">
      <alignment horizontal="center" vertical="center"/>
    </xf>
    <xf numFmtId="0" fontId="6" fillId="16" borderId="6" xfId="0" applyFont="1" applyFill="1" applyBorder="1" applyAlignment="1">
      <alignment horizontal="center" vertical="center" wrapText="1"/>
    </xf>
    <xf numFmtId="0" fontId="29" fillId="11" borderId="9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 wrapText="1"/>
    </xf>
    <xf numFmtId="0" fontId="31" fillId="17" borderId="7" xfId="0" applyFont="1" applyFill="1" applyBorder="1" applyAlignment="1">
      <alignment horizontal="center" vertical="center" wrapText="1"/>
    </xf>
    <xf numFmtId="0" fontId="31" fillId="4" borderId="7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66" fontId="32" fillId="11" borderId="6" xfId="0" applyNumberFormat="1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3" fillId="14" borderId="6" xfId="0" applyFont="1" applyFill="1" applyBorder="1" applyAlignment="1">
      <alignment horizontal="center" vertical="center" wrapText="1"/>
    </xf>
    <xf numFmtId="0" fontId="33" fillId="11" borderId="6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4" fillId="4" borderId="7" xfId="0" applyFont="1" applyFill="1" applyBorder="1" applyAlignment="1">
      <alignment horizontal="center" vertical="top" wrapText="1"/>
    </xf>
    <xf numFmtId="0" fontId="19" fillId="9" borderId="6" xfId="0" applyFont="1" applyFill="1" applyBorder="1" applyAlignment="1">
      <alignment horizontal="center" vertical="center"/>
    </xf>
    <xf numFmtId="0" fontId="33" fillId="9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5" fillId="3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30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17.png"/><Relationship Id="rId9" Type="http://schemas.openxmlformats.org/officeDocument/2006/relationships/image" Target="../media/image8.png"/><Relationship Id="rId1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7" Type="http://schemas.openxmlformats.org/officeDocument/2006/relationships/image" Target="../media/image22.png"/><Relationship Id="rId2" Type="http://schemas.openxmlformats.org/officeDocument/2006/relationships/image" Target="../media/image8.png"/><Relationship Id="rId1" Type="http://schemas.openxmlformats.org/officeDocument/2006/relationships/image" Target="../media/image18.png"/><Relationship Id="rId6" Type="http://schemas.openxmlformats.org/officeDocument/2006/relationships/image" Target="../media/image21.png"/><Relationship Id="rId5" Type="http://schemas.openxmlformats.org/officeDocument/2006/relationships/image" Target="../media/image3.png"/><Relationship Id="rId4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20.png"/><Relationship Id="rId7" Type="http://schemas.openxmlformats.org/officeDocument/2006/relationships/image" Target="../media/image22.png"/><Relationship Id="rId2" Type="http://schemas.openxmlformats.org/officeDocument/2006/relationships/image" Target="../media/image19.png"/><Relationship Id="rId1" Type="http://schemas.openxmlformats.org/officeDocument/2006/relationships/image" Target="../media/image8.png"/><Relationship Id="rId6" Type="http://schemas.openxmlformats.org/officeDocument/2006/relationships/image" Target="../media/image23.png"/><Relationship Id="rId5" Type="http://schemas.openxmlformats.org/officeDocument/2006/relationships/image" Target="../media/image21.png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47625</xdr:colOff>
      <xdr:row>4</xdr:row>
      <xdr:rowOff>19050</xdr:rowOff>
    </xdr:from>
    <xdr:ext cx="1495425" cy="714375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5765125" y="2201141"/>
          <a:ext cx="1495425" cy="714375"/>
          <a:chOff x="1317125" y="551125"/>
          <a:chExt cx="1806900" cy="9135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317125" y="551125"/>
            <a:ext cx="1806900" cy="913500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 cap="flat" cmpd="sng">
            <a:solidFill>
              <a:srgbClr val="FFFFFF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pic>
        <xdr:nvPic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396663" y="650688"/>
            <a:ext cx="1647825" cy="714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17</xdr:col>
      <xdr:colOff>1638300</xdr:colOff>
      <xdr:row>3</xdr:row>
      <xdr:rowOff>9525</xdr:rowOff>
    </xdr:from>
    <xdr:ext cx="1581150" cy="714375"/>
    <xdr:grpSp>
      <xdr:nvGrpSpPr>
        <xdr:cNvPr id="5" name="Shape 2" title="Dibuj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25718366" y="1343025"/>
          <a:ext cx="1581150" cy="714375"/>
          <a:chOff x="1396663" y="650688"/>
          <a:chExt cx="1647825" cy="714375"/>
        </a:xfrm>
      </xdr:grpSpPr>
      <xdr:pic>
        <xdr:nvPicPr>
          <xdr:cNvPr id="6" name="Sha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396663" y="650688"/>
            <a:ext cx="1647825" cy="714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18</xdr:col>
      <xdr:colOff>57150</xdr:colOff>
      <xdr:row>3</xdr:row>
      <xdr:rowOff>9525</xdr:rowOff>
    </xdr:from>
    <xdr:ext cx="1495425" cy="733425"/>
    <xdr:grpSp>
      <xdr:nvGrpSpPr>
        <xdr:cNvPr id="7" name="Shape 2" title="Dibuj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25774650" y="1343025"/>
          <a:ext cx="1495425" cy="733425"/>
          <a:chOff x="1396663" y="650688"/>
          <a:chExt cx="1647825" cy="714375"/>
        </a:xfrm>
      </xdr:grpSpPr>
      <xdr:pic>
        <xdr:nvPicPr>
          <xdr:cNvPr id="8" name="Shape 6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396663" y="650688"/>
            <a:ext cx="1647825" cy="714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12</xdr:col>
      <xdr:colOff>66675</xdr:colOff>
      <xdr:row>6</xdr:row>
      <xdr:rowOff>38100</xdr:rowOff>
    </xdr:from>
    <xdr:ext cx="295275" cy="276225"/>
    <xdr:pic>
      <xdr:nvPicPr>
        <xdr:cNvPr id="9" name="image6.png" title="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2</xdr:row>
      <xdr:rowOff>123825</xdr:rowOff>
    </xdr:from>
    <xdr:ext cx="990600" cy="209550"/>
    <xdr:pic>
      <xdr:nvPicPr>
        <xdr:cNvPr id="10" name="image3.png" title="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6</xdr:row>
      <xdr:rowOff>428625</xdr:rowOff>
    </xdr:from>
    <xdr:ext cx="304800" cy="276225"/>
    <xdr:pic>
      <xdr:nvPicPr>
        <xdr:cNvPr id="11" name="image10.png" title="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7</xdr:row>
      <xdr:rowOff>409575</xdr:rowOff>
    </xdr:from>
    <xdr:ext cx="314325" cy="276225"/>
    <xdr:pic>
      <xdr:nvPicPr>
        <xdr:cNvPr id="12" name="image10.png" title="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8</xdr:row>
      <xdr:rowOff>390525</xdr:rowOff>
    </xdr:from>
    <xdr:ext cx="314325" cy="276225"/>
    <xdr:pic>
      <xdr:nvPicPr>
        <xdr:cNvPr id="13" name="image10.png" title="Imagen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9</xdr:row>
      <xdr:rowOff>438150</xdr:rowOff>
    </xdr:from>
    <xdr:ext cx="314325" cy="276225"/>
    <xdr:pic>
      <xdr:nvPicPr>
        <xdr:cNvPr id="14" name="image10.png" title="Imagen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10</xdr:row>
      <xdr:rowOff>447675</xdr:rowOff>
    </xdr:from>
    <xdr:ext cx="314325" cy="276225"/>
    <xdr:pic>
      <xdr:nvPicPr>
        <xdr:cNvPr id="15" name="image10.png" title="Imagen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11</xdr:row>
      <xdr:rowOff>457200</xdr:rowOff>
    </xdr:from>
    <xdr:ext cx="314325" cy="276225"/>
    <xdr:pic>
      <xdr:nvPicPr>
        <xdr:cNvPr id="16" name="image10.png" title="Imagen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142875</xdr:colOff>
      <xdr:row>5</xdr:row>
      <xdr:rowOff>504825</xdr:rowOff>
    </xdr:from>
    <xdr:ext cx="1381125" cy="209550"/>
    <xdr:pic>
      <xdr:nvPicPr>
        <xdr:cNvPr id="17" name="image5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</xdr:colOff>
      <xdr:row>4</xdr:row>
      <xdr:rowOff>495300</xdr:rowOff>
    </xdr:from>
    <xdr:ext cx="1447800" cy="238125"/>
    <xdr:pic>
      <xdr:nvPicPr>
        <xdr:cNvPr id="18" name="image14.png" title="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5</xdr:row>
      <xdr:rowOff>76200</xdr:rowOff>
    </xdr:from>
    <xdr:ext cx="1381125" cy="647700"/>
    <xdr:pic>
      <xdr:nvPicPr>
        <xdr:cNvPr id="19" name="image1.png" title="Imagen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6</xdr:row>
      <xdr:rowOff>819150</xdr:rowOff>
    </xdr:from>
    <xdr:ext cx="1447800" cy="714375"/>
    <xdr:pic>
      <xdr:nvPicPr>
        <xdr:cNvPr id="20" name="image1.png" title="Imagen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5</xdr:row>
      <xdr:rowOff>819150</xdr:rowOff>
    </xdr:from>
    <xdr:ext cx="1447800" cy="714375"/>
    <xdr:pic>
      <xdr:nvPicPr>
        <xdr:cNvPr id="21" name="image1.png" title="Imagen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7</xdr:row>
      <xdr:rowOff>819150</xdr:rowOff>
    </xdr:from>
    <xdr:ext cx="1447800" cy="714375"/>
    <xdr:pic>
      <xdr:nvPicPr>
        <xdr:cNvPr id="22" name="image1.png" title="Imagen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8</xdr:row>
      <xdr:rowOff>819150</xdr:rowOff>
    </xdr:from>
    <xdr:ext cx="1447800" cy="714375"/>
    <xdr:pic>
      <xdr:nvPicPr>
        <xdr:cNvPr id="23" name="image1.png" title="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9</xdr:row>
      <xdr:rowOff>819150</xdr:rowOff>
    </xdr:from>
    <xdr:ext cx="1447800" cy="714375"/>
    <xdr:pic>
      <xdr:nvPicPr>
        <xdr:cNvPr id="24" name="image1.png" title="Imagen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11</xdr:row>
      <xdr:rowOff>819150</xdr:rowOff>
    </xdr:from>
    <xdr:ext cx="1447800" cy="714375"/>
    <xdr:pic>
      <xdr:nvPicPr>
        <xdr:cNvPr id="25" name="image1.png" title="Imagen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314325</xdr:colOff>
      <xdr:row>2</xdr:row>
      <xdr:rowOff>809625</xdr:rowOff>
    </xdr:from>
    <xdr:ext cx="438150" cy="400050"/>
    <xdr:pic>
      <xdr:nvPicPr>
        <xdr:cNvPr id="26" name="image2.png" title="Imagen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11</xdr:row>
      <xdr:rowOff>95250</xdr:rowOff>
    </xdr:from>
    <xdr:ext cx="295275" cy="276225"/>
    <xdr:pic>
      <xdr:nvPicPr>
        <xdr:cNvPr id="27" name="image7.png" title="Imagen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10</xdr:row>
      <xdr:rowOff>76200</xdr:rowOff>
    </xdr:from>
    <xdr:ext cx="295275" cy="276225"/>
    <xdr:pic>
      <xdr:nvPicPr>
        <xdr:cNvPr id="28" name="image7.png" title="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76200</xdr:colOff>
      <xdr:row>8</xdr:row>
      <xdr:rowOff>38100</xdr:rowOff>
    </xdr:from>
    <xdr:ext cx="295275" cy="276225"/>
    <xdr:pic>
      <xdr:nvPicPr>
        <xdr:cNvPr id="29" name="image7.png" title="Imagen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7</xdr:row>
      <xdr:rowOff>38100</xdr:rowOff>
    </xdr:from>
    <xdr:ext cx="295275" cy="276225"/>
    <xdr:pic>
      <xdr:nvPicPr>
        <xdr:cNvPr id="30" name="image7.png" title="Imagen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2</xdr:row>
      <xdr:rowOff>419100</xdr:rowOff>
    </xdr:from>
    <xdr:ext cx="438150" cy="342900"/>
    <xdr:pic>
      <xdr:nvPicPr>
        <xdr:cNvPr id="31" name="image8.png" title="Imagen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800100</xdr:colOff>
      <xdr:row>2</xdr:row>
      <xdr:rowOff>409575</xdr:rowOff>
    </xdr:from>
    <xdr:ext cx="400050" cy="371475"/>
    <xdr:pic>
      <xdr:nvPicPr>
        <xdr:cNvPr id="32" name="image4.png" title="Imagen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190500</xdr:colOff>
      <xdr:row>2</xdr:row>
      <xdr:rowOff>85725</xdr:rowOff>
    </xdr:from>
    <xdr:ext cx="866775" cy="276225"/>
    <xdr:pic>
      <xdr:nvPicPr>
        <xdr:cNvPr id="33" name="image15.png" title="Imagen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5</xdr:row>
      <xdr:rowOff>409575</xdr:rowOff>
    </xdr:from>
    <xdr:ext cx="304800" cy="276225"/>
    <xdr:pic>
      <xdr:nvPicPr>
        <xdr:cNvPr id="34" name="image10.png" title="Imagen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5</xdr:row>
      <xdr:rowOff>76200</xdr:rowOff>
    </xdr:from>
    <xdr:ext cx="295275" cy="276225"/>
    <xdr:pic>
      <xdr:nvPicPr>
        <xdr:cNvPr id="35" name="image6.png" title="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3</xdr:row>
      <xdr:rowOff>200025</xdr:rowOff>
    </xdr:from>
    <xdr:ext cx="400050" cy="371475"/>
    <xdr:pic>
      <xdr:nvPicPr>
        <xdr:cNvPr id="36" name="image6.png" title="Imagen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4</xdr:row>
      <xdr:rowOff>200025</xdr:rowOff>
    </xdr:from>
    <xdr:ext cx="400050" cy="371475"/>
    <xdr:pic>
      <xdr:nvPicPr>
        <xdr:cNvPr id="37" name="image6.png" title="Imagen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3</xdr:row>
      <xdr:rowOff>200025</xdr:rowOff>
    </xdr:from>
    <xdr:ext cx="400050" cy="371475"/>
    <xdr:pic>
      <xdr:nvPicPr>
        <xdr:cNvPr id="38" name="image6.png" title="Imagen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3</xdr:row>
      <xdr:rowOff>200025</xdr:rowOff>
    </xdr:from>
    <xdr:ext cx="400050" cy="371475"/>
    <xdr:pic>
      <xdr:nvPicPr>
        <xdr:cNvPr id="39" name="image6.png" title="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76200</xdr:colOff>
      <xdr:row>9</xdr:row>
      <xdr:rowOff>57150</xdr:rowOff>
    </xdr:from>
    <xdr:ext cx="295275" cy="276225"/>
    <xdr:pic>
      <xdr:nvPicPr>
        <xdr:cNvPr id="40" name="image7.png" title="Imagen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3</xdr:row>
      <xdr:rowOff>0</xdr:rowOff>
    </xdr:from>
    <xdr:ext cx="1162050" cy="790575"/>
    <xdr:pic>
      <xdr:nvPicPr>
        <xdr:cNvPr id="41" name="image9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</xdr:row>
      <xdr:rowOff>0</xdr:rowOff>
    </xdr:from>
    <xdr:ext cx="1600200" cy="809625"/>
    <xdr:pic>
      <xdr:nvPicPr>
        <xdr:cNvPr id="42" name="image11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</xdr:row>
      <xdr:rowOff>0</xdr:rowOff>
    </xdr:from>
    <xdr:ext cx="1162050" cy="790575"/>
    <xdr:pic>
      <xdr:nvPicPr>
        <xdr:cNvPr id="43" name="image9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</xdr:row>
      <xdr:rowOff>0</xdr:rowOff>
    </xdr:from>
    <xdr:ext cx="1600200" cy="809625"/>
    <xdr:pic>
      <xdr:nvPicPr>
        <xdr:cNvPr id="44" name="image11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</xdr:row>
      <xdr:rowOff>0</xdr:rowOff>
    </xdr:from>
    <xdr:ext cx="1162050" cy="790575"/>
    <xdr:pic>
      <xdr:nvPicPr>
        <xdr:cNvPr id="45" name="image9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1600200" cy="809625"/>
    <xdr:pic>
      <xdr:nvPicPr>
        <xdr:cNvPr id="46" name="image23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6</xdr:row>
      <xdr:rowOff>0</xdr:rowOff>
    </xdr:from>
    <xdr:ext cx="1162050" cy="790575"/>
    <xdr:pic>
      <xdr:nvPicPr>
        <xdr:cNvPr id="47" name="image9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</xdr:row>
      <xdr:rowOff>0</xdr:rowOff>
    </xdr:from>
    <xdr:ext cx="1619250" cy="809625"/>
    <xdr:pic>
      <xdr:nvPicPr>
        <xdr:cNvPr id="48" name="image12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</xdr:row>
      <xdr:rowOff>0</xdr:rowOff>
    </xdr:from>
    <xdr:ext cx="1162050" cy="790575"/>
    <xdr:pic>
      <xdr:nvPicPr>
        <xdr:cNvPr id="49" name="image9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1619250" cy="809625"/>
    <xdr:pic>
      <xdr:nvPicPr>
        <xdr:cNvPr id="50" name="image12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8</xdr:row>
      <xdr:rowOff>0</xdr:rowOff>
    </xdr:from>
    <xdr:ext cx="1162050" cy="790575"/>
    <xdr:pic>
      <xdr:nvPicPr>
        <xdr:cNvPr id="51" name="image9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9</xdr:row>
      <xdr:rowOff>0</xdr:rowOff>
    </xdr:from>
    <xdr:ext cx="1619250" cy="809625"/>
    <xdr:pic>
      <xdr:nvPicPr>
        <xdr:cNvPr id="52" name="image12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9</xdr:row>
      <xdr:rowOff>0</xdr:rowOff>
    </xdr:from>
    <xdr:ext cx="1162050" cy="790575"/>
    <xdr:pic>
      <xdr:nvPicPr>
        <xdr:cNvPr id="53" name="image9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10</xdr:row>
      <xdr:rowOff>0</xdr:rowOff>
    </xdr:from>
    <xdr:ext cx="1562100" cy="809625"/>
    <xdr:pic>
      <xdr:nvPicPr>
        <xdr:cNvPr id="54" name="image13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10</xdr:row>
      <xdr:rowOff>0</xdr:rowOff>
    </xdr:from>
    <xdr:ext cx="1162050" cy="790575"/>
    <xdr:pic>
      <xdr:nvPicPr>
        <xdr:cNvPr id="55" name="image9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11</xdr:row>
      <xdr:rowOff>0</xdr:rowOff>
    </xdr:from>
    <xdr:ext cx="1562100" cy="809625"/>
    <xdr:pic>
      <xdr:nvPicPr>
        <xdr:cNvPr id="56" name="image13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11</xdr:row>
      <xdr:rowOff>0</xdr:rowOff>
    </xdr:from>
    <xdr:ext cx="1162050" cy="790575"/>
    <xdr:pic>
      <xdr:nvPicPr>
        <xdr:cNvPr id="57" name="image9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28575</xdr:colOff>
      <xdr:row>3</xdr:row>
      <xdr:rowOff>19050</xdr:rowOff>
    </xdr:from>
    <xdr:ext cx="1447800" cy="714375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6059039" y="1951264"/>
          <a:ext cx="1447800" cy="714375"/>
          <a:chOff x="1317125" y="551125"/>
          <a:chExt cx="1806900" cy="9135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1317125" y="551125"/>
            <a:ext cx="1806900" cy="913500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 cap="flat" cmpd="sng">
            <a:solidFill>
              <a:srgbClr val="FFFFFF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pic>
        <xdr:nvPic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396663" y="650688"/>
            <a:ext cx="1647825" cy="714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12</xdr:col>
      <xdr:colOff>104775</xdr:colOff>
      <xdr:row>3</xdr:row>
      <xdr:rowOff>219075</xdr:rowOff>
    </xdr:from>
    <xdr:ext cx="295275" cy="276225"/>
    <xdr:pic>
      <xdr:nvPicPr>
        <xdr:cNvPr id="5" name="image6.png" title="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3</xdr:row>
      <xdr:rowOff>809625</xdr:rowOff>
    </xdr:from>
    <xdr:ext cx="295275" cy="276225"/>
    <xdr:pic>
      <xdr:nvPicPr>
        <xdr:cNvPr id="6" name="image6.png" title="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4</xdr:row>
      <xdr:rowOff>809625</xdr:rowOff>
    </xdr:from>
    <xdr:ext cx="295275" cy="276225"/>
    <xdr:pic>
      <xdr:nvPicPr>
        <xdr:cNvPr id="7" name="image6.png" title="Imagen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1352550</xdr:colOff>
      <xdr:row>2</xdr:row>
      <xdr:rowOff>19050</xdr:rowOff>
    </xdr:from>
    <xdr:ext cx="1019175" cy="209550"/>
    <xdr:pic>
      <xdr:nvPicPr>
        <xdr:cNvPr id="8" name="image3.png" title="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19050</xdr:colOff>
      <xdr:row>3</xdr:row>
      <xdr:rowOff>76200</xdr:rowOff>
    </xdr:from>
    <xdr:ext cx="1447800" cy="647700"/>
    <xdr:pic>
      <xdr:nvPicPr>
        <xdr:cNvPr id="9" name="image17.png" title="Image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4</xdr:row>
      <xdr:rowOff>409575</xdr:rowOff>
    </xdr:from>
    <xdr:ext cx="304800" cy="276225"/>
    <xdr:pic>
      <xdr:nvPicPr>
        <xdr:cNvPr id="10" name="image10.png" title="Imagen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5</xdr:row>
      <xdr:rowOff>409575</xdr:rowOff>
    </xdr:from>
    <xdr:ext cx="304800" cy="276225"/>
    <xdr:pic>
      <xdr:nvPicPr>
        <xdr:cNvPr id="11" name="image10.png" title="Imagen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180975</xdr:colOff>
      <xdr:row>6</xdr:row>
      <xdr:rowOff>409575</xdr:rowOff>
    </xdr:from>
    <xdr:ext cx="314325" cy="276225"/>
    <xdr:pic>
      <xdr:nvPicPr>
        <xdr:cNvPr id="12" name="image10.png" title="Imagen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161925</xdr:colOff>
      <xdr:row>7</xdr:row>
      <xdr:rowOff>400050</xdr:rowOff>
    </xdr:from>
    <xdr:ext cx="314325" cy="276225"/>
    <xdr:pic>
      <xdr:nvPicPr>
        <xdr:cNvPr id="13" name="image10.png" title="Imagen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</xdr:colOff>
      <xdr:row>8</xdr:row>
      <xdr:rowOff>390525</xdr:rowOff>
    </xdr:from>
    <xdr:ext cx="314325" cy="276225"/>
    <xdr:pic>
      <xdr:nvPicPr>
        <xdr:cNvPr id="14" name="image10.png" title="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9</xdr:row>
      <xdr:rowOff>381000</xdr:rowOff>
    </xdr:from>
    <xdr:ext cx="314325" cy="276225"/>
    <xdr:pic>
      <xdr:nvPicPr>
        <xdr:cNvPr id="15" name="image10.png" title="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10</xdr:row>
      <xdr:rowOff>361950</xdr:rowOff>
    </xdr:from>
    <xdr:ext cx="314325" cy="276225"/>
    <xdr:pic>
      <xdr:nvPicPr>
        <xdr:cNvPr id="16" name="image10.png" title="Imagen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142875</xdr:colOff>
      <xdr:row>4</xdr:row>
      <xdr:rowOff>504825</xdr:rowOff>
    </xdr:from>
    <xdr:ext cx="1381125" cy="209550"/>
    <xdr:pic>
      <xdr:nvPicPr>
        <xdr:cNvPr id="17" name="image5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</xdr:colOff>
      <xdr:row>3</xdr:row>
      <xdr:rowOff>495300</xdr:rowOff>
    </xdr:from>
    <xdr:ext cx="1447800" cy="238125"/>
    <xdr:pic>
      <xdr:nvPicPr>
        <xdr:cNvPr id="18" name="image14.png" title="Imagen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4</xdr:row>
      <xdr:rowOff>76200</xdr:rowOff>
    </xdr:from>
    <xdr:ext cx="1381125" cy="647700"/>
    <xdr:pic>
      <xdr:nvPicPr>
        <xdr:cNvPr id="19" name="image1.png" title="Imagen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5</xdr:row>
      <xdr:rowOff>819150</xdr:rowOff>
    </xdr:from>
    <xdr:ext cx="1447800" cy="714375"/>
    <xdr:pic>
      <xdr:nvPicPr>
        <xdr:cNvPr id="20" name="image1.png" title="Imagen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4</xdr:row>
      <xdr:rowOff>819150</xdr:rowOff>
    </xdr:from>
    <xdr:ext cx="1447800" cy="714375"/>
    <xdr:pic>
      <xdr:nvPicPr>
        <xdr:cNvPr id="21" name="image1.png" title="Imagen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6</xdr:row>
      <xdr:rowOff>819150</xdr:rowOff>
    </xdr:from>
    <xdr:ext cx="1447800" cy="714375"/>
    <xdr:pic>
      <xdr:nvPicPr>
        <xdr:cNvPr id="22" name="image1.png" title="Imagen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7</xdr:row>
      <xdr:rowOff>819150</xdr:rowOff>
    </xdr:from>
    <xdr:ext cx="1447800" cy="714375"/>
    <xdr:pic>
      <xdr:nvPicPr>
        <xdr:cNvPr id="23" name="image1.png" title="Imagen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8</xdr:row>
      <xdr:rowOff>819150</xdr:rowOff>
    </xdr:from>
    <xdr:ext cx="1447800" cy="714375"/>
    <xdr:pic>
      <xdr:nvPicPr>
        <xdr:cNvPr id="24" name="image1.png" title="Imagen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10</xdr:row>
      <xdr:rowOff>819150</xdr:rowOff>
    </xdr:from>
    <xdr:ext cx="1447800" cy="714375"/>
    <xdr:pic>
      <xdr:nvPicPr>
        <xdr:cNvPr id="25" name="image1.png" title="Imagen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314325</xdr:colOff>
      <xdr:row>2</xdr:row>
      <xdr:rowOff>809625</xdr:rowOff>
    </xdr:from>
    <xdr:ext cx="438150" cy="400050"/>
    <xdr:pic>
      <xdr:nvPicPr>
        <xdr:cNvPr id="26" name="image2.png" title="Imagen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152400</xdr:colOff>
      <xdr:row>9</xdr:row>
      <xdr:rowOff>809625</xdr:rowOff>
    </xdr:from>
    <xdr:ext cx="295275" cy="276225"/>
    <xdr:pic>
      <xdr:nvPicPr>
        <xdr:cNvPr id="27" name="image7.png" title="Imagen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152400</xdr:colOff>
      <xdr:row>8</xdr:row>
      <xdr:rowOff>809625</xdr:rowOff>
    </xdr:from>
    <xdr:ext cx="295275" cy="276225"/>
    <xdr:pic>
      <xdr:nvPicPr>
        <xdr:cNvPr id="28" name="image7.png" title="Imagen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152400</xdr:colOff>
      <xdr:row>7</xdr:row>
      <xdr:rowOff>809625</xdr:rowOff>
    </xdr:from>
    <xdr:ext cx="295275" cy="276225"/>
    <xdr:pic>
      <xdr:nvPicPr>
        <xdr:cNvPr id="29" name="image7.png" title="Imagen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152400</xdr:colOff>
      <xdr:row>6</xdr:row>
      <xdr:rowOff>809625</xdr:rowOff>
    </xdr:from>
    <xdr:ext cx="295275" cy="276225"/>
    <xdr:pic>
      <xdr:nvPicPr>
        <xdr:cNvPr id="30" name="image7.png" title="Imagen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190500</xdr:colOff>
      <xdr:row>5</xdr:row>
      <xdr:rowOff>809625</xdr:rowOff>
    </xdr:from>
    <xdr:ext cx="295275" cy="276225"/>
    <xdr:pic>
      <xdr:nvPicPr>
        <xdr:cNvPr id="31" name="image7.png" title="Imagen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</xdr:row>
      <xdr:rowOff>419100</xdr:rowOff>
    </xdr:from>
    <xdr:ext cx="438150" cy="342900"/>
    <xdr:pic>
      <xdr:nvPicPr>
        <xdr:cNvPr id="32" name="image8.png" title="Imagen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895350</xdr:colOff>
      <xdr:row>2</xdr:row>
      <xdr:rowOff>409575</xdr:rowOff>
    </xdr:from>
    <xdr:ext cx="400050" cy="371475"/>
    <xdr:pic>
      <xdr:nvPicPr>
        <xdr:cNvPr id="33" name="image4.png" title="Imagen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247650</xdr:colOff>
      <xdr:row>2</xdr:row>
      <xdr:rowOff>85725</xdr:rowOff>
    </xdr:from>
    <xdr:ext cx="866775" cy="276225"/>
    <xdr:pic>
      <xdr:nvPicPr>
        <xdr:cNvPr id="34" name="image15.png" title="Imagen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</xdr:row>
      <xdr:rowOff>0</xdr:rowOff>
    </xdr:from>
    <xdr:ext cx="1600200" cy="809625"/>
    <xdr:pic>
      <xdr:nvPicPr>
        <xdr:cNvPr id="35" name="image11.pn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3</xdr:row>
      <xdr:rowOff>0</xdr:rowOff>
    </xdr:from>
    <xdr:ext cx="1162050" cy="790575"/>
    <xdr:pic>
      <xdr:nvPicPr>
        <xdr:cNvPr id="36" name="image9.pn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</xdr:row>
      <xdr:rowOff>0</xdr:rowOff>
    </xdr:from>
    <xdr:ext cx="1600200" cy="809625"/>
    <xdr:pic>
      <xdr:nvPicPr>
        <xdr:cNvPr id="37" name="image11.pn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</xdr:row>
      <xdr:rowOff>0</xdr:rowOff>
    </xdr:from>
    <xdr:ext cx="1162050" cy="790575"/>
    <xdr:pic>
      <xdr:nvPicPr>
        <xdr:cNvPr id="38" name="image9.pn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</xdr:row>
      <xdr:rowOff>0</xdr:rowOff>
    </xdr:from>
    <xdr:ext cx="1600200" cy="809625"/>
    <xdr:pic>
      <xdr:nvPicPr>
        <xdr:cNvPr id="39" name="image23.pn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</xdr:row>
      <xdr:rowOff>0</xdr:rowOff>
    </xdr:from>
    <xdr:ext cx="1162050" cy="790575"/>
    <xdr:pic>
      <xdr:nvPicPr>
        <xdr:cNvPr id="40" name="image9.pn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1619250" cy="809625"/>
    <xdr:pic>
      <xdr:nvPicPr>
        <xdr:cNvPr id="41" name="image12.pn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6</xdr:row>
      <xdr:rowOff>0</xdr:rowOff>
    </xdr:from>
    <xdr:ext cx="1162050" cy="790575"/>
    <xdr:pic>
      <xdr:nvPicPr>
        <xdr:cNvPr id="42" name="image9.pn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</xdr:row>
      <xdr:rowOff>0</xdr:rowOff>
    </xdr:from>
    <xdr:ext cx="1619250" cy="809625"/>
    <xdr:pic>
      <xdr:nvPicPr>
        <xdr:cNvPr id="43" name="image12.pn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</xdr:row>
      <xdr:rowOff>0</xdr:rowOff>
    </xdr:from>
    <xdr:ext cx="1162050" cy="790575"/>
    <xdr:pic>
      <xdr:nvPicPr>
        <xdr:cNvPr id="44" name="image9.pn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1619250" cy="809625"/>
    <xdr:pic>
      <xdr:nvPicPr>
        <xdr:cNvPr id="45" name="image12.pn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8</xdr:row>
      <xdr:rowOff>0</xdr:rowOff>
    </xdr:from>
    <xdr:ext cx="1162050" cy="790575"/>
    <xdr:pic>
      <xdr:nvPicPr>
        <xdr:cNvPr id="46" name="image9.png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9</xdr:row>
      <xdr:rowOff>0</xdr:rowOff>
    </xdr:from>
    <xdr:ext cx="1562100" cy="809625"/>
    <xdr:pic>
      <xdr:nvPicPr>
        <xdr:cNvPr id="47" name="image13.png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9</xdr:row>
      <xdr:rowOff>0</xdr:rowOff>
    </xdr:from>
    <xdr:ext cx="1162050" cy="790575"/>
    <xdr:pic>
      <xdr:nvPicPr>
        <xdr:cNvPr id="48" name="image9.png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10</xdr:row>
      <xdr:rowOff>0</xdr:rowOff>
    </xdr:from>
    <xdr:ext cx="1562100" cy="809625"/>
    <xdr:pic>
      <xdr:nvPicPr>
        <xdr:cNvPr id="49" name="image13.png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10</xdr:row>
      <xdr:rowOff>0</xdr:rowOff>
    </xdr:from>
    <xdr:ext cx="1162050" cy="790575"/>
    <xdr:pic>
      <xdr:nvPicPr>
        <xdr:cNvPr id="50" name="image9.png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247650</xdr:colOff>
      <xdr:row>3</xdr:row>
      <xdr:rowOff>514350</xdr:rowOff>
    </xdr:from>
    <xdr:ext cx="1162050" cy="400050"/>
    <xdr:pic>
      <xdr:nvPicPr>
        <xdr:cNvPr id="2" name="image18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361950</xdr:colOff>
      <xdr:row>2</xdr:row>
      <xdr:rowOff>523875</xdr:rowOff>
    </xdr:from>
    <xdr:ext cx="438150" cy="400050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152400</xdr:colOff>
      <xdr:row>3</xdr:row>
      <xdr:rowOff>104775</xdr:rowOff>
    </xdr:from>
    <xdr:ext cx="1276350" cy="571500"/>
    <xdr:pic>
      <xdr:nvPicPr>
        <xdr:cNvPr id="4" name="image22.png" title="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2</xdr:row>
      <xdr:rowOff>19050</xdr:rowOff>
    </xdr:from>
    <xdr:ext cx="895350" cy="904875"/>
    <xdr:pic>
      <xdr:nvPicPr>
        <xdr:cNvPr id="5" name="image20.png" title="Image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4</xdr:row>
      <xdr:rowOff>38100</xdr:rowOff>
    </xdr:from>
    <xdr:ext cx="1019175" cy="209550"/>
    <xdr:pic>
      <xdr:nvPicPr>
        <xdr:cNvPr id="6" name="image3.png" title="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142875</xdr:colOff>
      <xdr:row>4</xdr:row>
      <xdr:rowOff>133350</xdr:rowOff>
    </xdr:from>
    <xdr:ext cx="1247775" cy="447675"/>
    <xdr:pic>
      <xdr:nvPicPr>
        <xdr:cNvPr id="7" name="image19.png" title="Imagen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00025" cy="190500"/>
    <xdr:pic>
      <xdr:nvPicPr>
        <xdr:cNvPr id="8" name="image24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361950</xdr:colOff>
      <xdr:row>2</xdr:row>
      <xdr:rowOff>523875</xdr:rowOff>
    </xdr:from>
    <xdr:ext cx="438150" cy="40005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152400</xdr:colOff>
      <xdr:row>3</xdr:row>
      <xdr:rowOff>104775</xdr:rowOff>
    </xdr:from>
    <xdr:ext cx="1276350" cy="571500"/>
    <xdr:pic>
      <xdr:nvPicPr>
        <xdr:cNvPr id="3" name="image22.png" title="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</xdr:row>
      <xdr:rowOff>19050</xdr:rowOff>
    </xdr:from>
    <xdr:ext cx="895350" cy="904875"/>
    <xdr:pic>
      <xdr:nvPicPr>
        <xdr:cNvPr id="4" name="image20.png" title="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295275</xdr:colOff>
      <xdr:row>4</xdr:row>
      <xdr:rowOff>38100</xdr:rowOff>
    </xdr:from>
    <xdr:ext cx="1019175" cy="209550"/>
    <xdr:pic>
      <xdr:nvPicPr>
        <xdr:cNvPr id="5" name="image3.png" title="Imagen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142875</xdr:colOff>
      <xdr:row>4</xdr:row>
      <xdr:rowOff>133350</xdr:rowOff>
    </xdr:from>
    <xdr:ext cx="1247775" cy="447675"/>
    <xdr:pic>
      <xdr:nvPicPr>
        <xdr:cNvPr id="6" name="image19.png" title="Imagen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2</xdr:row>
      <xdr:rowOff>419100</xdr:rowOff>
    </xdr:from>
    <xdr:ext cx="819150" cy="352425"/>
    <xdr:pic>
      <xdr:nvPicPr>
        <xdr:cNvPr id="7" name="image21.png" title="Imagen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542924</xdr:rowOff>
    </xdr:from>
    <xdr:ext cx="1123950" cy="904875"/>
    <xdr:pic>
      <xdr:nvPicPr>
        <xdr:cNvPr id="8" name="image24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610600" y="704849"/>
          <a:ext cx="1123950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</xdr:row>
      <xdr:rowOff>0</xdr:rowOff>
    </xdr:from>
    <xdr:ext cx="1171575" cy="800100"/>
    <xdr:pic>
      <xdr:nvPicPr>
        <xdr:cNvPr id="9" name="image9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05750" cy="4591050"/>
    <xdr:pic>
      <xdr:nvPicPr>
        <xdr:cNvPr id="2" name="image16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</sheetPr>
  <dimension ref="A1:T12"/>
  <sheetViews>
    <sheetView showGridLines="0" zoomScale="55" zoomScaleNormal="55" workbookViewId="0">
      <pane ySplit="3" topLeftCell="A7" activePane="bottomLeft" state="frozen"/>
      <selection pane="bottomLeft" activeCell="B11" sqref="B11"/>
    </sheetView>
  </sheetViews>
  <sheetFormatPr defaultColWidth="14.42578125" defaultRowHeight="15" customHeight="1"/>
  <cols>
    <col min="1" max="1" width="21.42578125" customWidth="1"/>
    <col min="2" max="2" width="17.140625" customWidth="1"/>
    <col min="3" max="3" width="16.140625" customWidth="1"/>
    <col min="4" max="5" width="29.140625" customWidth="1"/>
    <col min="6" max="6" width="20.7109375" customWidth="1"/>
    <col min="7" max="7" width="20.5703125" customWidth="1"/>
    <col min="8" max="8" width="20.28515625" customWidth="1"/>
    <col min="9" max="9" width="15.7109375" customWidth="1"/>
    <col min="10" max="10" width="21.5703125" customWidth="1"/>
    <col min="11" max="11" width="15.7109375" customWidth="1"/>
    <col min="12" max="12" width="40.85546875" customWidth="1"/>
    <col min="13" max="13" width="23.5703125" customWidth="1"/>
    <col min="14" max="14" width="13.7109375" customWidth="1"/>
    <col min="15" max="15" width="22.5703125" customWidth="1"/>
    <col min="16" max="16" width="17.7109375" customWidth="1"/>
    <col min="17" max="17" width="15.140625" customWidth="1"/>
    <col min="18" max="19" width="24.42578125" customWidth="1"/>
    <col min="20" max="20" width="17.42578125" customWidth="1"/>
  </cols>
  <sheetData>
    <row r="1" spans="1:20" ht="12.75" customHeight="1">
      <c r="A1" s="1"/>
      <c r="B1" s="2"/>
      <c r="C1" s="3"/>
      <c r="D1" s="3"/>
      <c r="E1" s="3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4"/>
    </row>
    <row r="2" spans="1:20" ht="36">
      <c r="A2" s="5"/>
      <c r="B2" s="2"/>
      <c r="C2" s="3"/>
      <c r="D2" s="58" t="s">
        <v>0</v>
      </c>
      <c r="E2" s="59"/>
      <c r="F2" s="6"/>
      <c r="G2" s="6"/>
      <c r="H2" s="60" t="s">
        <v>1</v>
      </c>
      <c r="I2" s="61"/>
      <c r="J2" s="61"/>
      <c r="K2" s="61"/>
      <c r="L2" s="61"/>
      <c r="M2" s="61"/>
      <c r="N2" s="61"/>
      <c r="O2" s="61"/>
      <c r="P2" s="60" t="s">
        <v>2</v>
      </c>
      <c r="Q2" s="61"/>
      <c r="R2" s="61"/>
      <c r="S2" s="61"/>
      <c r="T2" s="62"/>
    </row>
    <row r="3" spans="1:20" ht="57" customHeight="1">
      <c r="A3" s="7" t="s">
        <v>3</v>
      </c>
      <c r="B3" s="8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10" t="s">
        <v>9</v>
      </c>
      <c r="H3" s="11" t="s">
        <v>10</v>
      </c>
      <c r="I3" s="12" t="s">
        <v>11</v>
      </c>
      <c r="J3" s="13" t="s">
        <v>12</v>
      </c>
      <c r="K3" s="14" t="s">
        <v>13</v>
      </c>
      <c r="L3" s="15" t="s">
        <v>14</v>
      </c>
      <c r="M3" s="14" t="s">
        <v>15</v>
      </c>
      <c r="N3" s="16" t="s">
        <v>16</v>
      </c>
      <c r="O3" s="17" t="s">
        <v>17</v>
      </c>
      <c r="P3" s="12" t="s">
        <v>18</v>
      </c>
      <c r="Q3" s="12" t="s">
        <v>19</v>
      </c>
      <c r="R3" s="12" t="s">
        <v>20</v>
      </c>
      <c r="S3" s="12" t="s">
        <v>21</v>
      </c>
      <c r="T3" s="18" t="s">
        <v>22</v>
      </c>
    </row>
    <row r="4" spans="1:20" ht="66.75" customHeight="1">
      <c r="A4" s="19" t="s">
        <v>23</v>
      </c>
      <c r="B4" s="20">
        <v>11.74</v>
      </c>
      <c r="C4" s="21">
        <f t="shared" ref="C4:C12" si="0">B4*1.15</f>
        <v>13.500999999999999</v>
      </c>
      <c r="D4" s="22" t="s">
        <v>24</v>
      </c>
      <c r="E4" s="22" t="s">
        <v>24</v>
      </c>
      <c r="F4" s="23" t="s">
        <v>25</v>
      </c>
      <c r="G4" s="24" t="s">
        <v>24</v>
      </c>
      <c r="H4" s="25" t="s">
        <v>26</v>
      </c>
      <c r="I4" s="26" t="s">
        <v>27</v>
      </c>
      <c r="J4" s="27" t="s">
        <v>28</v>
      </c>
      <c r="K4" s="28" t="s">
        <v>29</v>
      </c>
      <c r="L4" s="29" t="s">
        <v>24</v>
      </c>
      <c r="M4" s="30" t="s">
        <v>29</v>
      </c>
      <c r="N4" s="31" t="s">
        <v>30</v>
      </c>
      <c r="O4" s="32" t="s">
        <v>31</v>
      </c>
      <c r="P4" s="33" t="s">
        <v>32</v>
      </c>
      <c r="Q4" s="34" t="s">
        <v>33</v>
      </c>
      <c r="R4" s="35" t="s">
        <v>24</v>
      </c>
      <c r="S4" s="35"/>
      <c r="T4" s="36"/>
    </row>
    <row r="5" spans="1:20" ht="63.75" customHeight="1">
      <c r="A5" s="19" t="s">
        <v>34</v>
      </c>
      <c r="B5" s="20">
        <v>13.5</v>
      </c>
      <c r="C5" s="21">
        <f t="shared" si="0"/>
        <v>15.524999999999999</v>
      </c>
      <c r="D5" s="37" t="s">
        <v>35</v>
      </c>
      <c r="E5" s="38">
        <f t="shared" ref="E5:E12" si="1">C5-(B5*20%)</f>
        <v>12.824999999999999</v>
      </c>
      <c r="F5" s="23" t="s">
        <v>25</v>
      </c>
      <c r="G5" s="24" t="s">
        <v>36</v>
      </c>
      <c r="H5" s="25" t="s">
        <v>26</v>
      </c>
      <c r="I5" s="26" t="s">
        <v>27</v>
      </c>
      <c r="J5" s="27" t="s">
        <v>37</v>
      </c>
      <c r="K5" s="28" t="s">
        <v>29</v>
      </c>
      <c r="L5" s="29" t="s">
        <v>24</v>
      </c>
      <c r="M5" s="30" t="s">
        <v>29</v>
      </c>
      <c r="N5" s="31" t="s">
        <v>38</v>
      </c>
      <c r="O5" s="39" t="s">
        <v>39</v>
      </c>
      <c r="P5" s="33" t="s">
        <v>40</v>
      </c>
      <c r="Q5" s="34" t="s">
        <v>33</v>
      </c>
      <c r="R5" s="35"/>
      <c r="S5" s="35"/>
      <c r="T5" s="36"/>
    </row>
    <row r="6" spans="1:20" ht="63.75" customHeight="1">
      <c r="A6" s="19" t="s">
        <v>41</v>
      </c>
      <c r="B6" s="20" t="s">
        <v>42</v>
      </c>
      <c r="C6" s="21">
        <f t="shared" si="0"/>
        <v>18.388500000000001</v>
      </c>
      <c r="D6" s="37" t="s">
        <v>35</v>
      </c>
      <c r="E6" s="38">
        <f t="shared" si="1"/>
        <v>15.1905</v>
      </c>
      <c r="F6" s="23" t="s">
        <v>25</v>
      </c>
      <c r="G6" s="24" t="s">
        <v>36</v>
      </c>
      <c r="H6" s="25" t="s">
        <v>43</v>
      </c>
      <c r="I6" s="26" t="s">
        <v>27</v>
      </c>
      <c r="J6" s="27" t="s">
        <v>37</v>
      </c>
      <c r="K6" s="28" t="s">
        <v>29</v>
      </c>
      <c r="L6" s="29" t="s">
        <v>24</v>
      </c>
      <c r="M6" s="40" t="s">
        <v>44</v>
      </c>
      <c r="N6" s="41" t="s">
        <v>45</v>
      </c>
      <c r="O6" s="39" t="s">
        <v>24</v>
      </c>
      <c r="P6" s="33" t="s">
        <v>46</v>
      </c>
      <c r="Q6" s="34" t="s">
        <v>33</v>
      </c>
      <c r="R6" s="35"/>
      <c r="S6" s="35"/>
      <c r="T6" s="36"/>
    </row>
    <row r="7" spans="1:20" ht="63.75" customHeight="1">
      <c r="A7" s="19" t="s">
        <v>47</v>
      </c>
      <c r="B7" s="20" t="s">
        <v>48</v>
      </c>
      <c r="C7" s="21">
        <f t="shared" si="0"/>
        <v>21.148499999999999</v>
      </c>
      <c r="D7" s="37" t="s">
        <v>35</v>
      </c>
      <c r="E7" s="38">
        <f t="shared" si="1"/>
        <v>17.470499999999998</v>
      </c>
      <c r="F7" s="23" t="s">
        <v>25</v>
      </c>
      <c r="G7" s="24" t="s">
        <v>36</v>
      </c>
      <c r="H7" s="25" t="s">
        <v>49</v>
      </c>
      <c r="I7" s="26" t="s">
        <v>50</v>
      </c>
      <c r="J7" s="27" t="s">
        <v>51</v>
      </c>
      <c r="K7" s="28" t="s">
        <v>29</v>
      </c>
      <c r="L7" s="29" t="s">
        <v>24</v>
      </c>
      <c r="M7" s="40" t="s">
        <v>44</v>
      </c>
      <c r="N7" s="31" t="s">
        <v>45</v>
      </c>
      <c r="O7" s="39" t="s">
        <v>24</v>
      </c>
      <c r="P7" s="33" t="s">
        <v>52</v>
      </c>
      <c r="Q7" s="34" t="s">
        <v>33</v>
      </c>
      <c r="R7" s="35"/>
      <c r="S7" s="35"/>
      <c r="T7" s="36"/>
    </row>
    <row r="8" spans="1:20" ht="63.75" customHeight="1">
      <c r="A8" s="19" t="s">
        <v>53</v>
      </c>
      <c r="B8" s="20" t="s">
        <v>54</v>
      </c>
      <c r="C8" s="21">
        <f t="shared" si="0"/>
        <v>26.898499999999999</v>
      </c>
      <c r="D8" s="37" t="s">
        <v>35</v>
      </c>
      <c r="E8" s="38">
        <f t="shared" si="1"/>
        <v>22.220499999999998</v>
      </c>
      <c r="F8" s="23" t="s">
        <v>25</v>
      </c>
      <c r="G8" s="24" t="s">
        <v>36</v>
      </c>
      <c r="H8" s="42" t="s">
        <v>55</v>
      </c>
      <c r="I8" s="26" t="s">
        <v>50</v>
      </c>
      <c r="J8" s="27" t="s">
        <v>56</v>
      </c>
      <c r="K8" s="28" t="s">
        <v>29</v>
      </c>
      <c r="L8" s="29" t="s">
        <v>24</v>
      </c>
      <c r="M8" s="40" t="s">
        <v>44</v>
      </c>
      <c r="N8" s="31" t="s">
        <v>57</v>
      </c>
      <c r="O8" s="39" t="s">
        <v>24</v>
      </c>
      <c r="P8" s="33" t="s">
        <v>58</v>
      </c>
      <c r="Q8" s="34" t="s">
        <v>33</v>
      </c>
      <c r="R8" s="35"/>
      <c r="S8" s="35"/>
      <c r="T8" s="36"/>
    </row>
    <row r="9" spans="1:20" ht="63.75" customHeight="1">
      <c r="A9" s="19" t="s">
        <v>59</v>
      </c>
      <c r="B9" s="20" t="s">
        <v>60</v>
      </c>
      <c r="C9" s="21">
        <f t="shared" si="0"/>
        <v>31.613499999999995</v>
      </c>
      <c r="D9" s="37" t="s">
        <v>35</v>
      </c>
      <c r="E9" s="38">
        <f t="shared" si="1"/>
        <v>26.115499999999994</v>
      </c>
      <c r="F9" s="23" t="s">
        <v>25</v>
      </c>
      <c r="G9" s="24" t="s">
        <v>36</v>
      </c>
      <c r="H9" s="42" t="s">
        <v>61</v>
      </c>
      <c r="I9" s="26" t="s">
        <v>50</v>
      </c>
      <c r="J9" s="27" t="s">
        <v>62</v>
      </c>
      <c r="K9" s="28" t="s">
        <v>29</v>
      </c>
      <c r="L9" s="43" t="s">
        <v>63</v>
      </c>
      <c r="M9" s="40" t="s">
        <v>44</v>
      </c>
      <c r="N9" s="31" t="s">
        <v>64</v>
      </c>
      <c r="O9" s="39" t="s">
        <v>24</v>
      </c>
      <c r="P9" s="33" t="s">
        <v>65</v>
      </c>
      <c r="Q9" s="34" t="s">
        <v>33</v>
      </c>
      <c r="R9" s="35"/>
      <c r="S9" s="35"/>
      <c r="T9" s="36"/>
    </row>
    <row r="10" spans="1:20" ht="63.75" customHeight="1">
      <c r="A10" s="19" t="s">
        <v>66</v>
      </c>
      <c r="B10" s="20" t="s">
        <v>67</v>
      </c>
      <c r="C10" s="21">
        <f t="shared" si="0"/>
        <v>39.088499999999996</v>
      </c>
      <c r="D10" s="37" t="s">
        <v>35</v>
      </c>
      <c r="E10" s="38">
        <f t="shared" si="1"/>
        <v>32.290499999999994</v>
      </c>
      <c r="F10" s="23" t="s">
        <v>25</v>
      </c>
      <c r="G10" s="24" t="s">
        <v>36</v>
      </c>
      <c r="H10" s="44" t="s">
        <v>68</v>
      </c>
      <c r="I10" s="26" t="s">
        <v>50</v>
      </c>
      <c r="J10" s="27" t="s">
        <v>69</v>
      </c>
      <c r="K10" s="28" t="s">
        <v>29</v>
      </c>
      <c r="L10" s="43" t="s">
        <v>70</v>
      </c>
      <c r="M10" s="40" t="s">
        <v>44</v>
      </c>
      <c r="N10" s="31" t="s">
        <v>71</v>
      </c>
      <c r="O10" s="39" t="s">
        <v>24</v>
      </c>
      <c r="P10" s="33" t="s">
        <v>72</v>
      </c>
      <c r="Q10" s="34" t="s">
        <v>33</v>
      </c>
      <c r="R10" s="35"/>
      <c r="S10" s="35"/>
      <c r="T10" s="36"/>
    </row>
    <row r="11" spans="1:20" ht="63.75" customHeight="1">
      <c r="A11" s="19" t="s">
        <v>73</v>
      </c>
      <c r="B11" s="20" t="s">
        <v>74</v>
      </c>
      <c r="C11" s="21">
        <f t="shared" si="0"/>
        <v>43.688499999999998</v>
      </c>
      <c r="D11" s="37" t="s">
        <v>35</v>
      </c>
      <c r="E11" s="38">
        <f t="shared" si="1"/>
        <v>36.090499999999999</v>
      </c>
      <c r="F11" s="23" t="s">
        <v>25</v>
      </c>
      <c r="G11" s="24" t="s">
        <v>36</v>
      </c>
      <c r="H11" s="44" t="s">
        <v>75</v>
      </c>
      <c r="I11" s="26" t="s">
        <v>50</v>
      </c>
      <c r="J11" s="27" t="s">
        <v>76</v>
      </c>
      <c r="K11" s="28" t="s">
        <v>29</v>
      </c>
      <c r="L11" s="29" t="s">
        <v>24</v>
      </c>
      <c r="M11" s="40" t="s">
        <v>44</v>
      </c>
      <c r="N11" s="31" t="s">
        <v>77</v>
      </c>
      <c r="O11" s="39" t="s">
        <v>24</v>
      </c>
      <c r="P11" s="33" t="s">
        <v>78</v>
      </c>
      <c r="Q11" s="34" t="s">
        <v>33</v>
      </c>
      <c r="R11" s="35"/>
      <c r="S11" s="35"/>
      <c r="T11" s="36"/>
    </row>
    <row r="12" spans="1:20" ht="63.75" customHeight="1">
      <c r="A12" s="19" t="s">
        <v>79</v>
      </c>
      <c r="B12" s="20" t="s">
        <v>80</v>
      </c>
      <c r="C12" s="21">
        <f t="shared" si="0"/>
        <v>68.988500000000002</v>
      </c>
      <c r="D12" s="37" t="s">
        <v>35</v>
      </c>
      <c r="E12" s="38">
        <f t="shared" si="1"/>
        <v>56.990499999999997</v>
      </c>
      <c r="F12" s="23" t="s">
        <v>25</v>
      </c>
      <c r="G12" s="24" t="s">
        <v>36</v>
      </c>
      <c r="H12" s="44" t="s">
        <v>81</v>
      </c>
      <c r="I12" s="26" t="s">
        <v>50</v>
      </c>
      <c r="J12" s="27" t="s">
        <v>82</v>
      </c>
      <c r="K12" s="28" t="s">
        <v>29</v>
      </c>
      <c r="L12" s="43" t="s">
        <v>83</v>
      </c>
      <c r="M12" s="40" t="s">
        <v>84</v>
      </c>
      <c r="N12" s="31" t="s">
        <v>85</v>
      </c>
      <c r="O12" s="39" t="s">
        <v>24</v>
      </c>
      <c r="P12" s="33" t="s">
        <v>86</v>
      </c>
      <c r="Q12" s="34" t="s">
        <v>33</v>
      </c>
      <c r="R12" s="35"/>
      <c r="S12" s="35"/>
      <c r="T12" s="36"/>
    </row>
  </sheetData>
  <mergeCells count="3">
    <mergeCell ref="D2:E2"/>
    <mergeCell ref="H2:O2"/>
    <mergeCell ref="P2:T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</sheetPr>
  <dimension ref="A1:T11"/>
  <sheetViews>
    <sheetView showGridLines="0" zoomScale="70" zoomScaleNormal="70" workbookViewId="0">
      <selection activeCell="K5" sqref="K5"/>
    </sheetView>
  </sheetViews>
  <sheetFormatPr defaultColWidth="14.42578125" defaultRowHeight="15" customHeight="1"/>
  <cols>
    <col min="1" max="1" width="21.42578125" customWidth="1"/>
    <col min="2" max="2" width="17.140625" customWidth="1"/>
    <col min="3" max="3" width="16.140625" customWidth="1"/>
    <col min="4" max="4" width="29.140625" customWidth="1"/>
    <col min="5" max="5" width="27.28515625" customWidth="1"/>
    <col min="6" max="6" width="20.7109375" customWidth="1"/>
    <col min="7" max="7" width="23.42578125" customWidth="1"/>
    <col min="8" max="8" width="20.28515625" customWidth="1"/>
    <col min="9" max="9" width="15.7109375" customWidth="1"/>
    <col min="10" max="10" width="21.5703125" customWidth="1"/>
    <col min="11" max="11" width="15.7109375" customWidth="1"/>
    <col min="12" max="12" width="40.85546875" customWidth="1"/>
    <col min="13" max="13" width="27.140625" customWidth="1"/>
    <col min="14" max="14" width="13.7109375" customWidth="1"/>
    <col min="15" max="15" width="22.5703125" customWidth="1"/>
    <col min="16" max="16" width="17.7109375" customWidth="1"/>
    <col min="17" max="17" width="15.140625" customWidth="1"/>
    <col min="18" max="19" width="24.42578125" customWidth="1"/>
    <col min="20" max="20" width="17.42578125" customWidth="1"/>
  </cols>
  <sheetData>
    <row r="1" spans="1:20" ht="12.75" customHeight="1">
      <c r="A1" s="1"/>
      <c r="B1" s="2"/>
      <c r="C1" s="3"/>
      <c r="D1" s="3"/>
      <c r="E1" s="3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4"/>
    </row>
    <row r="2" spans="1:20" ht="36">
      <c r="A2" s="5"/>
      <c r="B2" s="2"/>
      <c r="C2" s="3"/>
      <c r="D2" s="58" t="s">
        <v>0</v>
      </c>
      <c r="E2" s="59"/>
      <c r="F2" s="6"/>
      <c r="G2" s="6"/>
      <c r="H2" s="60" t="s">
        <v>1</v>
      </c>
      <c r="I2" s="61"/>
      <c r="J2" s="61"/>
      <c r="K2" s="61"/>
      <c r="L2" s="61"/>
      <c r="M2" s="61"/>
      <c r="N2" s="61"/>
      <c r="O2" s="61"/>
      <c r="P2" s="60" t="s">
        <v>2</v>
      </c>
      <c r="Q2" s="61"/>
      <c r="R2" s="61"/>
      <c r="S2" s="61"/>
      <c r="T2" s="62"/>
    </row>
    <row r="3" spans="1:20" ht="102.75" customHeight="1">
      <c r="A3" s="7" t="s">
        <v>3</v>
      </c>
      <c r="B3" s="8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10" t="s">
        <v>9</v>
      </c>
      <c r="H3" s="11" t="s">
        <v>10</v>
      </c>
      <c r="I3" s="12" t="s">
        <v>11</v>
      </c>
      <c r="J3" s="13" t="s">
        <v>12</v>
      </c>
      <c r="K3" s="14" t="s">
        <v>13</v>
      </c>
      <c r="L3" s="15" t="s">
        <v>14</v>
      </c>
      <c r="M3" s="14" t="s">
        <v>15</v>
      </c>
      <c r="N3" s="16" t="s">
        <v>16</v>
      </c>
      <c r="O3" s="17" t="s">
        <v>17</v>
      </c>
      <c r="P3" s="12" t="s">
        <v>87</v>
      </c>
      <c r="Q3" s="12" t="s">
        <v>19</v>
      </c>
      <c r="R3" s="12" t="s">
        <v>20</v>
      </c>
      <c r="S3" s="12" t="s">
        <v>21</v>
      </c>
      <c r="T3" s="18" t="s">
        <v>22</v>
      </c>
    </row>
    <row r="4" spans="1:20" ht="63.75" customHeight="1">
      <c r="A4" s="19" t="s">
        <v>34</v>
      </c>
      <c r="B4" s="20">
        <v>13.5</v>
      </c>
      <c r="C4" s="21">
        <f t="shared" ref="C4:C11" si="0">B4*1.15</f>
        <v>15.524999999999999</v>
      </c>
      <c r="D4" s="37" t="s">
        <v>35</v>
      </c>
      <c r="E4" s="38">
        <f t="shared" ref="E4:E11" si="1">C4-(B4*20%)</f>
        <v>12.824999999999999</v>
      </c>
      <c r="F4" s="23" t="s">
        <v>25</v>
      </c>
      <c r="G4" s="24" t="s">
        <v>36</v>
      </c>
      <c r="H4" s="25" t="s">
        <v>26</v>
      </c>
      <c r="I4" s="26" t="s">
        <v>27</v>
      </c>
      <c r="J4" s="27" t="s">
        <v>37</v>
      </c>
      <c r="K4" s="28" t="s">
        <v>29</v>
      </c>
      <c r="L4" s="29" t="s">
        <v>24</v>
      </c>
      <c r="M4" s="30" t="s">
        <v>29</v>
      </c>
      <c r="N4" s="31" t="s">
        <v>38</v>
      </c>
      <c r="O4" s="39"/>
      <c r="P4" s="33" t="s">
        <v>88</v>
      </c>
      <c r="Q4" s="34" t="s">
        <v>33</v>
      </c>
      <c r="R4" s="35"/>
      <c r="S4" s="35"/>
      <c r="T4" s="36"/>
    </row>
    <row r="5" spans="1:20" ht="63.75" customHeight="1">
      <c r="A5" s="19" t="s">
        <v>41</v>
      </c>
      <c r="B5" s="20" t="s">
        <v>42</v>
      </c>
      <c r="C5" s="21">
        <f t="shared" si="0"/>
        <v>18.388500000000001</v>
      </c>
      <c r="D5" s="37" t="s">
        <v>35</v>
      </c>
      <c r="E5" s="38">
        <f t="shared" si="1"/>
        <v>15.1905</v>
      </c>
      <c r="F5" s="23" t="s">
        <v>25</v>
      </c>
      <c r="G5" s="24" t="s">
        <v>36</v>
      </c>
      <c r="H5" s="25" t="s">
        <v>43</v>
      </c>
      <c r="I5" s="26" t="s">
        <v>27</v>
      </c>
      <c r="J5" s="27" t="s">
        <v>37</v>
      </c>
      <c r="K5" s="28" t="s">
        <v>29</v>
      </c>
      <c r="L5" s="29" t="s">
        <v>24</v>
      </c>
      <c r="M5" s="40" t="s">
        <v>44</v>
      </c>
      <c r="N5" s="41" t="s">
        <v>45</v>
      </c>
      <c r="O5" s="39" t="s">
        <v>24</v>
      </c>
      <c r="P5" s="33" t="s">
        <v>89</v>
      </c>
      <c r="Q5" s="34" t="s">
        <v>33</v>
      </c>
      <c r="R5" s="35"/>
      <c r="S5" s="35"/>
      <c r="T5" s="36"/>
    </row>
    <row r="6" spans="1:20" ht="63.75" customHeight="1">
      <c r="A6" s="19" t="s">
        <v>47</v>
      </c>
      <c r="B6" s="20" t="s">
        <v>48</v>
      </c>
      <c r="C6" s="21">
        <f t="shared" si="0"/>
        <v>21.148499999999999</v>
      </c>
      <c r="D6" s="37" t="s">
        <v>35</v>
      </c>
      <c r="E6" s="38">
        <f t="shared" si="1"/>
        <v>17.470499999999998</v>
      </c>
      <c r="F6" s="23" t="s">
        <v>25</v>
      </c>
      <c r="G6" s="24" t="s">
        <v>36</v>
      </c>
      <c r="H6" s="25" t="s">
        <v>49</v>
      </c>
      <c r="I6" s="26" t="s">
        <v>50</v>
      </c>
      <c r="J6" s="27" t="s">
        <v>51</v>
      </c>
      <c r="K6" s="28" t="s">
        <v>29</v>
      </c>
      <c r="L6" s="29" t="s">
        <v>24</v>
      </c>
      <c r="M6" s="40" t="s">
        <v>44</v>
      </c>
      <c r="N6" s="31" t="s">
        <v>45</v>
      </c>
      <c r="O6" s="39" t="s">
        <v>24</v>
      </c>
      <c r="P6" s="33" t="s">
        <v>90</v>
      </c>
      <c r="Q6" s="34" t="s">
        <v>33</v>
      </c>
      <c r="R6" s="35"/>
      <c r="S6" s="35"/>
      <c r="T6" s="36"/>
    </row>
    <row r="7" spans="1:20" ht="63.75" customHeight="1">
      <c r="A7" s="19" t="s">
        <v>53</v>
      </c>
      <c r="B7" s="20" t="s">
        <v>54</v>
      </c>
      <c r="C7" s="21">
        <f t="shared" si="0"/>
        <v>26.898499999999999</v>
      </c>
      <c r="D7" s="37" t="s">
        <v>35</v>
      </c>
      <c r="E7" s="38">
        <f t="shared" si="1"/>
        <v>22.220499999999998</v>
      </c>
      <c r="F7" s="23" t="s">
        <v>25</v>
      </c>
      <c r="G7" s="24" t="s">
        <v>36</v>
      </c>
      <c r="H7" s="42" t="s">
        <v>55</v>
      </c>
      <c r="I7" s="26" t="s">
        <v>50</v>
      </c>
      <c r="J7" s="27" t="s">
        <v>56</v>
      </c>
      <c r="K7" s="28" t="s">
        <v>29</v>
      </c>
      <c r="L7" s="29" t="s">
        <v>24</v>
      </c>
      <c r="M7" s="40" t="s">
        <v>44</v>
      </c>
      <c r="N7" s="31" t="s">
        <v>57</v>
      </c>
      <c r="O7" s="39" t="s">
        <v>24</v>
      </c>
      <c r="P7" s="33" t="s">
        <v>91</v>
      </c>
      <c r="Q7" s="34" t="s">
        <v>33</v>
      </c>
      <c r="R7" s="35"/>
      <c r="S7" s="35"/>
      <c r="T7" s="36"/>
    </row>
    <row r="8" spans="1:20" ht="63.75" customHeight="1">
      <c r="A8" s="19" t="s">
        <v>59</v>
      </c>
      <c r="B8" s="20" t="s">
        <v>60</v>
      </c>
      <c r="C8" s="21">
        <f t="shared" si="0"/>
        <v>31.613499999999995</v>
      </c>
      <c r="D8" s="37" t="s">
        <v>35</v>
      </c>
      <c r="E8" s="38">
        <f t="shared" si="1"/>
        <v>26.115499999999994</v>
      </c>
      <c r="F8" s="23" t="s">
        <v>25</v>
      </c>
      <c r="G8" s="24" t="s">
        <v>36</v>
      </c>
      <c r="H8" s="42" t="s">
        <v>61</v>
      </c>
      <c r="I8" s="26" t="s">
        <v>50</v>
      </c>
      <c r="J8" s="27" t="s">
        <v>62</v>
      </c>
      <c r="K8" s="28" t="s">
        <v>29</v>
      </c>
      <c r="L8" s="43" t="s">
        <v>63</v>
      </c>
      <c r="M8" s="40" t="s">
        <v>44</v>
      </c>
      <c r="N8" s="31" t="s">
        <v>64</v>
      </c>
      <c r="O8" s="39" t="s">
        <v>24</v>
      </c>
      <c r="P8" s="33" t="s">
        <v>92</v>
      </c>
      <c r="Q8" s="34" t="s">
        <v>33</v>
      </c>
      <c r="R8" s="35"/>
      <c r="S8" s="35"/>
      <c r="T8" s="36"/>
    </row>
    <row r="9" spans="1:20" ht="63.75" customHeight="1">
      <c r="A9" s="19" t="s">
        <v>66</v>
      </c>
      <c r="B9" s="20" t="s">
        <v>67</v>
      </c>
      <c r="C9" s="21">
        <f t="shared" si="0"/>
        <v>39.088499999999996</v>
      </c>
      <c r="D9" s="37" t="s">
        <v>35</v>
      </c>
      <c r="E9" s="38">
        <f t="shared" si="1"/>
        <v>32.290499999999994</v>
      </c>
      <c r="F9" s="23" t="s">
        <v>25</v>
      </c>
      <c r="G9" s="24" t="s">
        <v>36</v>
      </c>
      <c r="H9" s="44" t="s">
        <v>68</v>
      </c>
      <c r="I9" s="26" t="s">
        <v>50</v>
      </c>
      <c r="J9" s="27" t="s">
        <v>69</v>
      </c>
      <c r="K9" s="28" t="s">
        <v>29</v>
      </c>
      <c r="L9" s="43" t="s">
        <v>70</v>
      </c>
      <c r="M9" s="40" t="s">
        <v>44</v>
      </c>
      <c r="N9" s="31" t="s">
        <v>71</v>
      </c>
      <c r="O9" s="39" t="s">
        <v>24</v>
      </c>
      <c r="P9" s="33" t="s">
        <v>93</v>
      </c>
      <c r="Q9" s="34" t="s">
        <v>33</v>
      </c>
      <c r="R9" s="35"/>
      <c r="S9" s="35"/>
      <c r="T9" s="36"/>
    </row>
    <row r="10" spans="1:20" ht="63.75" customHeight="1">
      <c r="A10" s="19" t="s">
        <v>73</v>
      </c>
      <c r="B10" s="20" t="s">
        <v>74</v>
      </c>
      <c r="C10" s="21">
        <f t="shared" si="0"/>
        <v>43.688499999999998</v>
      </c>
      <c r="D10" s="37" t="s">
        <v>35</v>
      </c>
      <c r="E10" s="38">
        <f t="shared" si="1"/>
        <v>36.090499999999999</v>
      </c>
      <c r="F10" s="23" t="s">
        <v>25</v>
      </c>
      <c r="G10" s="24" t="s">
        <v>36</v>
      </c>
      <c r="H10" s="44" t="s">
        <v>75</v>
      </c>
      <c r="I10" s="26" t="s">
        <v>50</v>
      </c>
      <c r="J10" s="27" t="s">
        <v>76</v>
      </c>
      <c r="K10" s="28" t="s">
        <v>29</v>
      </c>
      <c r="L10" s="43" t="s">
        <v>83</v>
      </c>
      <c r="M10" s="40" t="s">
        <v>44</v>
      </c>
      <c r="N10" s="31" t="s">
        <v>77</v>
      </c>
      <c r="O10" s="39" t="s">
        <v>24</v>
      </c>
      <c r="P10" s="33" t="s">
        <v>94</v>
      </c>
      <c r="Q10" s="34" t="s">
        <v>33</v>
      </c>
      <c r="R10" s="35"/>
      <c r="S10" s="35"/>
      <c r="T10" s="36"/>
    </row>
    <row r="11" spans="1:20" ht="63.75" customHeight="1">
      <c r="A11" s="19" t="s">
        <v>79</v>
      </c>
      <c r="B11" s="20" t="s">
        <v>80</v>
      </c>
      <c r="C11" s="21">
        <f t="shared" si="0"/>
        <v>68.988500000000002</v>
      </c>
      <c r="D11" s="37" t="s">
        <v>35</v>
      </c>
      <c r="E11" s="38">
        <f t="shared" si="1"/>
        <v>56.990499999999997</v>
      </c>
      <c r="F11" s="23" t="s">
        <v>25</v>
      </c>
      <c r="G11" s="24" t="s">
        <v>36</v>
      </c>
      <c r="H11" s="44" t="s">
        <v>81</v>
      </c>
      <c r="I11" s="26" t="s">
        <v>50</v>
      </c>
      <c r="J11" s="27" t="s">
        <v>82</v>
      </c>
      <c r="K11" s="28" t="s">
        <v>29</v>
      </c>
      <c r="L11" s="43" t="s">
        <v>83</v>
      </c>
      <c r="M11" s="40" t="s">
        <v>44</v>
      </c>
      <c r="N11" s="31" t="s">
        <v>85</v>
      </c>
      <c r="O11" s="39" t="s">
        <v>24</v>
      </c>
      <c r="P11" s="33" t="s">
        <v>95</v>
      </c>
      <c r="Q11" s="34" t="s">
        <v>33</v>
      </c>
      <c r="R11" s="35"/>
      <c r="S11" s="35"/>
      <c r="T11" s="36"/>
    </row>
  </sheetData>
  <mergeCells count="3">
    <mergeCell ref="D2:E2"/>
    <mergeCell ref="H2:O2"/>
    <mergeCell ref="P2:T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00"/>
  </sheetPr>
  <dimension ref="A1:N5"/>
  <sheetViews>
    <sheetView showGridLines="0" workbookViewId="0"/>
  </sheetViews>
  <sheetFormatPr defaultColWidth="14.42578125" defaultRowHeight="15" customHeight="1"/>
  <cols>
    <col min="1" max="1" width="21.5703125" customWidth="1"/>
    <col min="2" max="2" width="17.140625" customWidth="1"/>
    <col min="3" max="3" width="16.140625" customWidth="1"/>
    <col min="4" max="4" width="29.140625" customWidth="1"/>
    <col min="5" max="9" width="22.5703125" customWidth="1"/>
    <col min="10" max="10" width="17.140625" customWidth="1"/>
    <col min="11" max="11" width="22.5703125" customWidth="1"/>
    <col min="12" max="12" width="15.140625" customWidth="1"/>
    <col min="13" max="13" width="21.42578125" customWidth="1"/>
    <col min="14" max="14" width="24.42578125" customWidth="1"/>
  </cols>
  <sheetData>
    <row r="1" spans="1:14" ht="12.75" customHeight="1">
      <c r="A1" s="1"/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42.75" customHeight="1">
      <c r="A2" s="5"/>
      <c r="B2" s="2"/>
      <c r="C2" s="3"/>
      <c r="D2" s="3"/>
      <c r="E2" s="63" t="s">
        <v>1</v>
      </c>
      <c r="F2" s="61"/>
      <c r="G2" s="61"/>
      <c r="H2" s="61"/>
      <c r="I2" s="61"/>
      <c r="J2" s="61"/>
      <c r="K2" s="62"/>
      <c r="L2" s="63" t="s">
        <v>2</v>
      </c>
      <c r="M2" s="61"/>
      <c r="N2" s="62"/>
    </row>
    <row r="3" spans="1:14" ht="78">
      <c r="A3" s="7" t="s">
        <v>3</v>
      </c>
      <c r="B3" s="8" t="s">
        <v>4</v>
      </c>
      <c r="C3" s="9" t="s">
        <v>96</v>
      </c>
      <c r="D3" s="9" t="s">
        <v>97</v>
      </c>
      <c r="E3" s="11" t="s">
        <v>10</v>
      </c>
      <c r="F3" s="16"/>
      <c r="G3" s="45"/>
      <c r="H3" s="12" t="s">
        <v>11</v>
      </c>
      <c r="I3" s="46" t="s">
        <v>98</v>
      </c>
      <c r="J3" s="14" t="s">
        <v>13</v>
      </c>
      <c r="K3" s="16" t="s">
        <v>16</v>
      </c>
      <c r="L3" s="12" t="s">
        <v>19</v>
      </c>
      <c r="M3" s="12" t="s">
        <v>99</v>
      </c>
      <c r="N3" s="12" t="s">
        <v>21</v>
      </c>
    </row>
    <row r="4" spans="1:14" ht="63.75" customHeight="1">
      <c r="A4" s="19" t="s">
        <v>100</v>
      </c>
      <c r="B4" s="20">
        <v>15</v>
      </c>
      <c r="C4" s="21">
        <f t="shared" ref="C4:C5" si="0">B4*1.15</f>
        <v>17.25</v>
      </c>
      <c r="D4" s="22">
        <f t="shared" ref="D4:D5" si="1">C4*50%</f>
        <v>8.625</v>
      </c>
      <c r="E4" s="47" t="s">
        <v>101</v>
      </c>
      <c r="F4" s="25" t="s">
        <v>24</v>
      </c>
      <c r="G4" s="25" t="s">
        <v>24</v>
      </c>
      <c r="H4" s="25" t="s">
        <v>24</v>
      </c>
      <c r="I4" s="48" t="s">
        <v>28</v>
      </c>
      <c r="J4" s="49" t="s">
        <v>29</v>
      </c>
      <c r="K4" s="50" t="s">
        <v>102</v>
      </c>
      <c r="L4" s="34" t="s">
        <v>33</v>
      </c>
      <c r="M4" s="51" t="s">
        <v>103</v>
      </c>
      <c r="N4" s="52" t="s">
        <v>104</v>
      </c>
    </row>
    <row r="5" spans="1:14" ht="63.75" customHeight="1">
      <c r="A5" s="19" t="s">
        <v>105</v>
      </c>
      <c r="B5" s="20">
        <v>20.87</v>
      </c>
      <c r="C5" s="21">
        <f t="shared" si="0"/>
        <v>24.000499999999999</v>
      </c>
      <c r="D5" s="22">
        <f t="shared" si="1"/>
        <v>12.000249999999999</v>
      </c>
      <c r="E5" s="47" t="s">
        <v>106</v>
      </c>
      <c r="F5" s="47" t="s">
        <v>28</v>
      </c>
      <c r="G5" s="53" t="s">
        <v>107</v>
      </c>
      <c r="H5" s="26" t="s">
        <v>108</v>
      </c>
      <c r="I5" s="25" t="s">
        <v>24</v>
      </c>
      <c r="J5" s="49" t="s">
        <v>29</v>
      </c>
      <c r="K5" s="47" t="s">
        <v>109</v>
      </c>
      <c r="L5" s="34" t="s">
        <v>33</v>
      </c>
      <c r="M5" s="51" t="s">
        <v>110</v>
      </c>
      <c r="N5" s="52" t="s">
        <v>111</v>
      </c>
    </row>
  </sheetData>
  <mergeCells count="2">
    <mergeCell ref="E2:K2"/>
    <mergeCell ref="L2:N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</sheetPr>
  <dimension ref="A1:P4"/>
  <sheetViews>
    <sheetView showGridLines="0" tabSelected="1" topLeftCell="D1" workbookViewId="0">
      <selection activeCell="F3" sqref="F3"/>
    </sheetView>
  </sheetViews>
  <sheetFormatPr defaultColWidth="14.42578125" defaultRowHeight="15" customHeight="1"/>
  <cols>
    <col min="1" max="1" width="21.5703125" customWidth="1"/>
    <col min="2" max="2" width="17.140625" customWidth="1"/>
    <col min="3" max="3" width="16.140625" customWidth="1"/>
    <col min="4" max="4" width="29.140625" customWidth="1"/>
    <col min="5" max="10" width="22.5703125" customWidth="1"/>
    <col min="11" max="11" width="17.140625" customWidth="1"/>
    <col min="12" max="12" width="22.5703125" customWidth="1"/>
    <col min="13" max="13" width="15.140625" customWidth="1"/>
    <col min="14" max="14" width="21.42578125" customWidth="1"/>
    <col min="15" max="16" width="24.42578125" customWidth="1"/>
  </cols>
  <sheetData>
    <row r="1" spans="1:16" ht="12.75" customHeight="1">
      <c r="A1" s="1"/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42.75" customHeight="1">
      <c r="A2" s="5"/>
      <c r="B2" s="2"/>
      <c r="C2" s="3"/>
      <c r="D2" s="3"/>
      <c r="E2" s="54"/>
      <c r="F2" s="63" t="s">
        <v>1</v>
      </c>
      <c r="G2" s="61"/>
      <c r="H2" s="61"/>
      <c r="I2" s="61"/>
      <c r="J2" s="61"/>
      <c r="K2" s="61"/>
      <c r="L2" s="62"/>
      <c r="M2" s="63" t="s">
        <v>2</v>
      </c>
      <c r="N2" s="61"/>
      <c r="O2" s="61"/>
      <c r="P2" s="62"/>
    </row>
    <row r="3" spans="1:16" ht="78">
      <c r="A3" s="7" t="s">
        <v>3</v>
      </c>
      <c r="B3" s="8" t="s">
        <v>4</v>
      </c>
      <c r="C3" s="9" t="s">
        <v>5</v>
      </c>
      <c r="D3" s="9" t="s">
        <v>112</v>
      </c>
      <c r="E3" s="10" t="s">
        <v>9</v>
      </c>
      <c r="F3" s="11" t="s">
        <v>10</v>
      </c>
      <c r="G3" s="16"/>
      <c r="H3" s="45"/>
      <c r="I3" s="12" t="s">
        <v>11</v>
      </c>
      <c r="J3" s="55" t="s">
        <v>98</v>
      </c>
      <c r="K3" s="14" t="s">
        <v>13</v>
      </c>
      <c r="L3" s="16" t="s">
        <v>16</v>
      </c>
      <c r="M3" s="12" t="s">
        <v>19</v>
      </c>
      <c r="N3" s="12" t="s">
        <v>113</v>
      </c>
      <c r="O3" s="12" t="s">
        <v>21</v>
      </c>
      <c r="P3" s="18" t="s">
        <v>22</v>
      </c>
    </row>
    <row r="4" spans="1:16" ht="63.75" customHeight="1">
      <c r="A4" s="19" t="s">
        <v>114</v>
      </c>
      <c r="B4" s="20">
        <v>14.17</v>
      </c>
      <c r="C4" s="21">
        <f>B4*1.15</f>
        <v>16.295499999999997</v>
      </c>
      <c r="D4" s="22">
        <f>C4-(B4*30%)</f>
        <v>12.044499999999998</v>
      </c>
      <c r="E4" s="56" t="s">
        <v>115</v>
      </c>
      <c r="F4" s="47" t="s">
        <v>26</v>
      </c>
      <c r="G4" s="25" t="s">
        <v>37</v>
      </c>
      <c r="H4" s="57" t="s">
        <v>116</v>
      </c>
      <c r="I4" s="25" t="s">
        <v>101</v>
      </c>
      <c r="J4" s="48" t="s">
        <v>29</v>
      </c>
      <c r="K4" s="49" t="s">
        <v>29</v>
      </c>
      <c r="L4" s="50" t="s">
        <v>117</v>
      </c>
      <c r="M4" s="34" t="s">
        <v>33</v>
      </c>
      <c r="N4" s="33" t="s">
        <v>118</v>
      </c>
      <c r="O4" s="52" t="s">
        <v>119</v>
      </c>
      <c r="P4" s="36"/>
    </row>
  </sheetData>
  <mergeCells count="2">
    <mergeCell ref="F2:L2"/>
    <mergeCell ref="M2:P2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GUIA TRADICIONAL</vt:lpstr>
      <vt:lpstr>GUIA DIGITAL</vt:lpstr>
      <vt:lpstr>PLAN ADULTO MAYOR Y DISCAPACIDA</vt:lpstr>
      <vt:lpstr>PLAN UBER</vt:lpstr>
      <vt:lpstr>PLAN ESSENTIAL-MIGRACIONES</vt:lpstr>
      <vt:lpstr>PREGUNTAS FRECUENTES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CARLA MARIA LOMAS QUINDE</cp:lastModifiedBy>
  <dcterms:modified xsi:type="dcterms:W3CDTF">2025-11-09T06:36:39Z</dcterms:modified>
</cp:coreProperties>
</file>