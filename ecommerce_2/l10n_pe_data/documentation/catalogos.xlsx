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x\Projects\Python\Odoo17\GrupoYACCK\l10n-peru\l10n_pe_data\documentation\"/>
    </mc:Choice>
  </mc:AlternateContent>
  <xr:revisionPtr revIDLastSave="0" documentId="13_ncr:1_{959A8AD8-65C2-4755-925E-CAFB6159B584}" xr6:coauthVersionLast="47" xr6:coauthVersionMax="47" xr10:uidLastSave="{00000000-0000-0000-0000-000000000000}"/>
  <bookViews>
    <workbookView xWindow="-120" yWindow="-120" windowWidth="29040" windowHeight="16440" tabRatio="500" firstSheet="30" activeTab="37" xr2:uid="{00000000-000D-0000-FFFF-FFFF00000000}"/>
  </bookViews>
  <sheets>
    <sheet name="Catalogo01" sheetId="1" r:id="rId1"/>
    <sheet name="Catalogo02" sheetId="2" r:id="rId2"/>
    <sheet name="Catalogo03" sheetId="3" r:id="rId3"/>
    <sheet name="Catalogo04" sheetId="4" r:id="rId4"/>
    <sheet name="Catalogo05" sheetId="5" r:id="rId5"/>
    <sheet name="Catalogo06" sheetId="6" r:id="rId6"/>
    <sheet name="Catalogo07" sheetId="7" r:id="rId7"/>
    <sheet name="Catalogo08" sheetId="8" r:id="rId8"/>
    <sheet name="Catalogo09" sheetId="9" r:id="rId9"/>
    <sheet name="Catalogo10" sheetId="10" r:id="rId10"/>
    <sheet name="Catalogo11" sheetId="11" r:id="rId11"/>
    <sheet name="Catalogo12" sheetId="12" r:id="rId12"/>
    <sheet name="Catalogo14" sheetId="13" r:id="rId13"/>
    <sheet name="Catalogo15" sheetId="14" r:id="rId14"/>
    <sheet name="Catalogo16" sheetId="15" r:id="rId15"/>
    <sheet name="Catalogo17" sheetId="16" r:id="rId16"/>
    <sheet name="Catalogo18" sheetId="17" r:id="rId17"/>
    <sheet name="Catalogo19" sheetId="18" r:id="rId18"/>
    <sheet name="Catalogo20" sheetId="19" r:id="rId19"/>
    <sheet name="Catalogo21" sheetId="20" r:id="rId20"/>
    <sheet name="Catalogo22" sheetId="21" r:id="rId21"/>
    <sheet name="Catalogo23" sheetId="22" r:id="rId22"/>
    <sheet name="Catalogo24" sheetId="23" r:id="rId23"/>
    <sheet name="Catalogo26" sheetId="24" r:id="rId24"/>
    <sheet name="Catalogo27" sheetId="25" r:id="rId25"/>
    <sheet name="Catalogo51" sheetId="26" r:id="rId26"/>
    <sheet name="Catalogo52" sheetId="27" r:id="rId27"/>
    <sheet name="Catalogo53" sheetId="28" r:id="rId28"/>
    <sheet name="Catalogo54" sheetId="29" r:id="rId29"/>
    <sheet name="Catalogo55" sheetId="30" r:id="rId30"/>
    <sheet name="Catalogo56" sheetId="31" r:id="rId31"/>
    <sheet name="Catalogo57" sheetId="32" r:id="rId32"/>
    <sheet name="Catalogo58" sheetId="33" r:id="rId33"/>
    <sheet name="Catalogo59" sheetId="34" r:id="rId34"/>
    <sheet name="Catalogo60" sheetId="35" r:id="rId35"/>
    <sheet name="Catalogo61" sheetId="36" r:id="rId36"/>
    <sheet name="ciiu" sheetId="37" r:id="rId37"/>
    <sheet name="CodRetorno" sheetId="38" r:id="rId38"/>
  </sheets>
  <definedNames>
    <definedName name="_xlnm._FilterDatabase" localSheetId="1" hidden="1">Catalogo02!$A$1:$F$277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A1576" i="38" l="1"/>
  <c r="A1575" i="38"/>
  <c r="A1574" i="38"/>
  <c r="A1573" i="38"/>
  <c r="A1572" i="38"/>
  <c r="A1571" i="38"/>
  <c r="A1570" i="38"/>
  <c r="A1569" i="38"/>
  <c r="A1568" i="38"/>
  <c r="A1567" i="38"/>
  <c r="A1566" i="38"/>
  <c r="A1565" i="38"/>
  <c r="A1564" i="38"/>
  <c r="A1563" i="38"/>
  <c r="A1562" i="38"/>
  <c r="A1561" i="38"/>
  <c r="A1560" i="38"/>
  <c r="A1559" i="38"/>
  <c r="A1558" i="38"/>
  <c r="A1557" i="38"/>
  <c r="A1556" i="38"/>
  <c r="A1555" i="38"/>
  <c r="A1554" i="38"/>
  <c r="A1553" i="38"/>
  <c r="A1552" i="38"/>
  <c r="A1551" i="38"/>
  <c r="A1550" i="38"/>
  <c r="A1549" i="38"/>
  <c r="A1548" i="38"/>
  <c r="A1547" i="38"/>
  <c r="A1546" i="38"/>
  <c r="A1545" i="38"/>
  <c r="A1544" i="38"/>
  <c r="A1543" i="38"/>
  <c r="A1542" i="38"/>
  <c r="A1541" i="38"/>
  <c r="A1540" i="38"/>
  <c r="A1539" i="38"/>
  <c r="A1538" i="38"/>
  <c r="A1537" i="38"/>
  <c r="A1536" i="38"/>
  <c r="A1535" i="38"/>
  <c r="A1534" i="38"/>
  <c r="A1533" i="38"/>
  <c r="A1532" i="38"/>
  <c r="A1531" i="38"/>
  <c r="A1530" i="38"/>
  <c r="A1529" i="38"/>
  <c r="A1528" i="38"/>
  <c r="A1527" i="38"/>
  <c r="A1526" i="38"/>
  <c r="A1525" i="38"/>
  <c r="A1524" i="38"/>
  <c r="A1523" i="38"/>
  <c r="A1522" i="38"/>
  <c r="A1521" i="38"/>
  <c r="A1520" i="38"/>
  <c r="A1519" i="38"/>
  <c r="A1518" i="38"/>
  <c r="A1517" i="38"/>
  <c r="A1516" i="38"/>
  <c r="A1515" i="38"/>
  <c r="A1514" i="38"/>
  <c r="A1513" i="38"/>
  <c r="A1512" i="38"/>
  <c r="A1511" i="38"/>
  <c r="A1510" i="38"/>
  <c r="A1509" i="38"/>
  <c r="A1508" i="38"/>
  <c r="A1507" i="38"/>
  <c r="A1506" i="38"/>
  <c r="A1505" i="38"/>
  <c r="A1504" i="38"/>
  <c r="A1503" i="38"/>
  <c r="A1502" i="38"/>
  <c r="A1501" i="38"/>
  <c r="A1500" i="38"/>
  <c r="A1499" i="38"/>
  <c r="A1498" i="38"/>
  <c r="A1497" i="38"/>
  <c r="A1496" i="38"/>
  <c r="A1495" i="38"/>
  <c r="A1494" i="38"/>
  <c r="A1493" i="38"/>
  <c r="A1492" i="38"/>
  <c r="A1491" i="38"/>
  <c r="A1490" i="38"/>
  <c r="A1489" i="38"/>
  <c r="A1488" i="38"/>
  <c r="A1487" i="38"/>
  <c r="A1486" i="38"/>
  <c r="A1485" i="38"/>
  <c r="A1484" i="38"/>
  <c r="A1483" i="38"/>
  <c r="A1482" i="38"/>
  <c r="A1481" i="38"/>
  <c r="A1480" i="38"/>
  <c r="A1479" i="38"/>
  <c r="A1478" i="38"/>
  <c r="A1477" i="38"/>
  <c r="A1476" i="38"/>
  <c r="A1475" i="38"/>
  <c r="A1474" i="38"/>
  <c r="A1473" i="38"/>
  <c r="A1472" i="38"/>
  <c r="A1471" i="38"/>
  <c r="A1470" i="38"/>
  <c r="A1469" i="38"/>
  <c r="A1468" i="38"/>
  <c r="A1467" i="38"/>
  <c r="A1466" i="38"/>
  <c r="A1465" i="38"/>
  <c r="A1464" i="38"/>
  <c r="A1463" i="38"/>
  <c r="A1462" i="38"/>
  <c r="A1461" i="38"/>
  <c r="A1460" i="38"/>
  <c r="A1459" i="38"/>
  <c r="A1458" i="38"/>
  <c r="A1457" i="38"/>
  <c r="A1456" i="38"/>
  <c r="A1455" i="38"/>
  <c r="A1454" i="38"/>
  <c r="A1453" i="38"/>
  <c r="A1452" i="38"/>
  <c r="A1451" i="38"/>
  <c r="A1450" i="38"/>
  <c r="A1449" i="38"/>
  <c r="A1448" i="38"/>
  <c r="A1447" i="38"/>
  <c r="A1446" i="38"/>
  <c r="A1445" i="38"/>
  <c r="A1444" i="38"/>
  <c r="A1443" i="38"/>
  <c r="A1442" i="38"/>
  <c r="A1441" i="38"/>
  <c r="A1440" i="38"/>
  <c r="A1439" i="38"/>
  <c r="A1438" i="38"/>
  <c r="A1437" i="38"/>
  <c r="A1436" i="38"/>
  <c r="A1435" i="38"/>
  <c r="A1434" i="38"/>
  <c r="A1433" i="38"/>
  <c r="A1432" i="38"/>
  <c r="A1431" i="38"/>
  <c r="A1430" i="38"/>
  <c r="A1429" i="38"/>
  <c r="A1428" i="38"/>
  <c r="A1427" i="38"/>
  <c r="A1426" i="38"/>
  <c r="A1425" i="38"/>
  <c r="A1424" i="38"/>
  <c r="A1423" i="38"/>
  <c r="A1422" i="38"/>
  <c r="A1421" i="38"/>
  <c r="A1420" i="38"/>
  <c r="A1419" i="38"/>
  <c r="A1418" i="38"/>
  <c r="A1417" i="38"/>
  <c r="A1416" i="38"/>
  <c r="A1415" i="38"/>
  <c r="A1414" i="38"/>
  <c r="A1413" i="38"/>
  <c r="A1412" i="38"/>
  <c r="A1411" i="38"/>
  <c r="A1410" i="38"/>
  <c r="A1409" i="38"/>
  <c r="A1408" i="38"/>
  <c r="A1407" i="38"/>
  <c r="A1406" i="38"/>
  <c r="A1405" i="38"/>
  <c r="A1404" i="38"/>
  <c r="A1403" i="38"/>
  <c r="A1402" i="38"/>
  <c r="A1401" i="38"/>
  <c r="A1400" i="38"/>
  <c r="A1399" i="38"/>
  <c r="A1398" i="38"/>
  <c r="A1397" i="38"/>
  <c r="A1396" i="38"/>
  <c r="A1395" i="38"/>
  <c r="A1394" i="38"/>
  <c r="A1393" i="38"/>
  <c r="A1392" i="38"/>
  <c r="A1391" i="38"/>
  <c r="A1390" i="38"/>
  <c r="A1389" i="38"/>
  <c r="A1388" i="38"/>
  <c r="A1387" i="38"/>
  <c r="A1386" i="38"/>
  <c r="A1385" i="38"/>
  <c r="A1384" i="38"/>
  <c r="A1383" i="38"/>
  <c r="A1382" i="38"/>
  <c r="A1381" i="38"/>
  <c r="A1380" i="38"/>
  <c r="A1379" i="38"/>
  <c r="A1378" i="38"/>
  <c r="A1377" i="38"/>
  <c r="A1376" i="38"/>
  <c r="A1375" i="38"/>
  <c r="A1374" i="38"/>
  <c r="A1373" i="38"/>
  <c r="A1372" i="38"/>
  <c r="A1371" i="38"/>
  <c r="A1370" i="38"/>
  <c r="A1369" i="38"/>
  <c r="A1368" i="38"/>
  <c r="A1367" i="38"/>
  <c r="A1366" i="38"/>
  <c r="A1365" i="38"/>
  <c r="A1364" i="38"/>
  <c r="A1363" i="38"/>
  <c r="A1362" i="38"/>
  <c r="A1361" i="38"/>
  <c r="A1360" i="38"/>
  <c r="A1359" i="38"/>
  <c r="A1358" i="38"/>
  <c r="A1357" i="38"/>
  <c r="A1356" i="38"/>
  <c r="A1355" i="38"/>
  <c r="A1354" i="38"/>
  <c r="A1353" i="38"/>
  <c r="A1352" i="38"/>
  <c r="A1351" i="38"/>
  <c r="A1350" i="38"/>
  <c r="A1349" i="38"/>
  <c r="A1348" i="38"/>
  <c r="A1347" i="38"/>
  <c r="A1346" i="38"/>
  <c r="A1345" i="38"/>
  <c r="A1344" i="38"/>
  <c r="A1343" i="38"/>
  <c r="A1342" i="38"/>
  <c r="A1341" i="38"/>
  <c r="A1340" i="38"/>
  <c r="A1339" i="38"/>
  <c r="A1338" i="38"/>
  <c r="A1337" i="38"/>
  <c r="A1336" i="38"/>
  <c r="A1335" i="38"/>
  <c r="A1334" i="38"/>
  <c r="A1333" i="38"/>
  <c r="A1332" i="38"/>
  <c r="A1331" i="38"/>
  <c r="A1330" i="38"/>
  <c r="A1329" i="38"/>
  <c r="A1328" i="38"/>
  <c r="A1327" i="38"/>
  <c r="A1326" i="38"/>
  <c r="A1325" i="38"/>
  <c r="A1324" i="38"/>
  <c r="A1323" i="38"/>
  <c r="A1322" i="38"/>
  <c r="A1321" i="38"/>
  <c r="A1320" i="38"/>
  <c r="A1319" i="38"/>
  <c r="A1318" i="38"/>
  <c r="A1317" i="38"/>
  <c r="A1316" i="38"/>
  <c r="A1315" i="38"/>
  <c r="A1314" i="38"/>
  <c r="A1313" i="38"/>
  <c r="A1312" i="38"/>
  <c r="A1311" i="38"/>
  <c r="A1310" i="38"/>
  <c r="A1309" i="38"/>
  <c r="A1308" i="38"/>
  <c r="A1307" i="38"/>
  <c r="A1306" i="38"/>
  <c r="A1305" i="38"/>
  <c r="A1304" i="38"/>
  <c r="A1303" i="38"/>
  <c r="A1302" i="38"/>
  <c r="A1301" i="38"/>
  <c r="A1300" i="38"/>
  <c r="A1299" i="38"/>
  <c r="A1298" i="38"/>
  <c r="A1297" i="38"/>
  <c r="A1296" i="38"/>
  <c r="A1295" i="38"/>
  <c r="A1294" i="38"/>
  <c r="A1293" i="38"/>
  <c r="A1292" i="38"/>
  <c r="A1291" i="38"/>
  <c r="A1290" i="38"/>
  <c r="A1289" i="38"/>
  <c r="A1288" i="38"/>
  <c r="A1287" i="38"/>
  <c r="A1286" i="38"/>
  <c r="A1285" i="38"/>
  <c r="A1284" i="38"/>
  <c r="A1283" i="38"/>
  <c r="A1282" i="38"/>
  <c r="A1281" i="38"/>
  <c r="A1280" i="38"/>
  <c r="A1279" i="38"/>
  <c r="A1278" i="38"/>
  <c r="A1277" i="38"/>
  <c r="A1276" i="38"/>
  <c r="A1275" i="38"/>
  <c r="A1274" i="38"/>
  <c r="A1273" i="38"/>
  <c r="A1272" i="38"/>
  <c r="A1271" i="38"/>
  <c r="A1270" i="38"/>
  <c r="A1269" i="38"/>
  <c r="A1268" i="38"/>
  <c r="A1267" i="38"/>
  <c r="A1266" i="38"/>
  <c r="A1265" i="38"/>
  <c r="A1264" i="38"/>
  <c r="A1263" i="38"/>
  <c r="A1262" i="38"/>
  <c r="A1261" i="38"/>
  <c r="A1260" i="38"/>
  <c r="A1259" i="38"/>
  <c r="A1258" i="38"/>
  <c r="A1257" i="38"/>
  <c r="A1256" i="38"/>
  <c r="A1255" i="38"/>
  <c r="A1254" i="38"/>
  <c r="A1253" i="38"/>
  <c r="A1252" i="38"/>
  <c r="A1251" i="38"/>
  <c r="A1250" i="38"/>
  <c r="A1249" i="38"/>
  <c r="A1248" i="38"/>
  <c r="A1247" i="38"/>
  <c r="A1246" i="38"/>
  <c r="A1245" i="38"/>
  <c r="A1244" i="38"/>
  <c r="A1243" i="38"/>
  <c r="A1242" i="38"/>
  <c r="A1241" i="38"/>
  <c r="A1240" i="38"/>
  <c r="A1239" i="38"/>
  <c r="A1238" i="38"/>
  <c r="A1237" i="38"/>
  <c r="A1236" i="38"/>
  <c r="A1235" i="38"/>
  <c r="A1234" i="38"/>
  <c r="A1233" i="38"/>
  <c r="A1232" i="38"/>
  <c r="A1231" i="38"/>
  <c r="A1230" i="38"/>
  <c r="A1229" i="38"/>
  <c r="A1228" i="38"/>
  <c r="A1227" i="38"/>
  <c r="A1226" i="38"/>
  <c r="A1225" i="38"/>
  <c r="A1224" i="38"/>
  <c r="A1223" i="38"/>
  <c r="A1222" i="38"/>
  <c r="A1221" i="38"/>
  <c r="A1220" i="38"/>
  <c r="A1219" i="38"/>
  <c r="A1218" i="38"/>
  <c r="A1217" i="38"/>
  <c r="A1216" i="38"/>
  <c r="A1215" i="38"/>
  <c r="A1214" i="38"/>
  <c r="A1213" i="38"/>
  <c r="A1212" i="38"/>
  <c r="A1211" i="38"/>
  <c r="A1210" i="38"/>
  <c r="A1209" i="38"/>
  <c r="A1208" i="38"/>
  <c r="A1207" i="38"/>
  <c r="A1206" i="38"/>
  <c r="A1205" i="38"/>
  <c r="A1204" i="38"/>
  <c r="A1203" i="38"/>
  <c r="A1202" i="38"/>
  <c r="A1201" i="38"/>
  <c r="A1200" i="38"/>
  <c r="A1199" i="38"/>
  <c r="A1198" i="38"/>
  <c r="A1197" i="38"/>
  <c r="A1196" i="38"/>
  <c r="A1195" i="38"/>
  <c r="A1194" i="38"/>
  <c r="A1193" i="38"/>
  <c r="A1192" i="38"/>
  <c r="A1191" i="38"/>
  <c r="A1190" i="38"/>
  <c r="A1189" i="38"/>
  <c r="A1188" i="38"/>
  <c r="A1187" i="38"/>
  <c r="A1186" i="38"/>
  <c r="A1185" i="38"/>
  <c r="A1184" i="38"/>
  <c r="A1183" i="38"/>
  <c r="A1182" i="38"/>
  <c r="A1181" i="38"/>
  <c r="A1180" i="38"/>
  <c r="A1179" i="38"/>
  <c r="A1178" i="38"/>
  <c r="A1177" i="38"/>
  <c r="A1176" i="38"/>
  <c r="A1175" i="38"/>
  <c r="A1174" i="38"/>
  <c r="A1173" i="38"/>
  <c r="A1172" i="38"/>
  <c r="A1171" i="38"/>
  <c r="A1170" i="38"/>
  <c r="A1169" i="38"/>
  <c r="A1168" i="38"/>
  <c r="A1167" i="38"/>
  <c r="A1166" i="38"/>
  <c r="A1165" i="38"/>
  <c r="A1164" i="38"/>
  <c r="A1163" i="38"/>
  <c r="A1162" i="38"/>
  <c r="A1161" i="38"/>
  <c r="A1160" i="38"/>
  <c r="A1159" i="38"/>
  <c r="A1158" i="38"/>
  <c r="A1157" i="38"/>
  <c r="A1156" i="38"/>
  <c r="A1155" i="38"/>
  <c r="A1154" i="38"/>
  <c r="A1153" i="38"/>
  <c r="A1152" i="38"/>
  <c r="A1151" i="38"/>
  <c r="A1150" i="38"/>
  <c r="A1149" i="38"/>
  <c r="A1148" i="38"/>
  <c r="A1147" i="38"/>
  <c r="A1146" i="38"/>
  <c r="A1145" i="38"/>
  <c r="A1144" i="38"/>
  <c r="A1143" i="38"/>
  <c r="A1142" i="38"/>
  <c r="A1141" i="38"/>
  <c r="A1140" i="38"/>
  <c r="A1139" i="38"/>
  <c r="A1138" i="38"/>
  <c r="A1137" i="38"/>
  <c r="A1136" i="38"/>
  <c r="A1135" i="38"/>
  <c r="A1134" i="38"/>
  <c r="A1133" i="38"/>
  <c r="A1132" i="38"/>
  <c r="A1131" i="38"/>
  <c r="A1130" i="38"/>
  <c r="A1129" i="38"/>
  <c r="A1128" i="38"/>
  <c r="A1127" i="38"/>
  <c r="A1126" i="38"/>
  <c r="A1125" i="38"/>
  <c r="A1124" i="38"/>
  <c r="A1123" i="38"/>
  <c r="A1122" i="38"/>
  <c r="A1121" i="38"/>
  <c r="A1120" i="38"/>
  <c r="A1119" i="38"/>
  <c r="A1118" i="38"/>
  <c r="A1117" i="38"/>
  <c r="A1116" i="38"/>
  <c r="A1115" i="38"/>
  <c r="A1114" i="38"/>
  <c r="A1113" i="38"/>
  <c r="A1112" i="38"/>
  <c r="A1111" i="38"/>
  <c r="A1110" i="38"/>
  <c r="A1109" i="38"/>
  <c r="A1108" i="38"/>
  <c r="A1107" i="38"/>
  <c r="A1106" i="38"/>
  <c r="A1105" i="38"/>
  <c r="A1104" i="38"/>
  <c r="A1103" i="38"/>
  <c r="A1102" i="38"/>
  <c r="A1101" i="38"/>
  <c r="A1100" i="38"/>
  <c r="A1099" i="38"/>
  <c r="A1098" i="38"/>
  <c r="A1097" i="38"/>
  <c r="A1096" i="38"/>
  <c r="A1095" i="38"/>
  <c r="A1094" i="38"/>
  <c r="A1093" i="38"/>
  <c r="A1092" i="38"/>
  <c r="A1091" i="38"/>
  <c r="A1090" i="38"/>
  <c r="A1089" i="38"/>
  <c r="A1088" i="38"/>
  <c r="A1087" i="38"/>
  <c r="A1086" i="38"/>
  <c r="A1085" i="38"/>
  <c r="A1084" i="38"/>
  <c r="A1083" i="38"/>
  <c r="A1082" i="38"/>
  <c r="A1081" i="38"/>
  <c r="A1080" i="38"/>
  <c r="A1079" i="38"/>
  <c r="A1078" i="38"/>
  <c r="A1077" i="38"/>
  <c r="A1076" i="38"/>
  <c r="A1075" i="38"/>
  <c r="A1074" i="38"/>
  <c r="A1073" i="38"/>
  <c r="A1072" i="38"/>
  <c r="A1071" i="38"/>
  <c r="A1070" i="38"/>
  <c r="A1069" i="38"/>
  <c r="A1068" i="38"/>
  <c r="A1067" i="38"/>
  <c r="A1066" i="38"/>
  <c r="A1065" i="38"/>
  <c r="A1064" i="38"/>
  <c r="A1063" i="38"/>
  <c r="A1062" i="38"/>
  <c r="A1061" i="38"/>
  <c r="A1060" i="38"/>
  <c r="A1059" i="38"/>
  <c r="A1058" i="38"/>
  <c r="A1057" i="38"/>
  <c r="A1056" i="38"/>
  <c r="A1055" i="38"/>
  <c r="A1054" i="38"/>
  <c r="A1053" i="38"/>
  <c r="A1052" i="38"/>
  <c r="A1051" i="38"/>
  <c r="A1050" i="38"/>
  <c r="A1049" i="38"/>
  <c r="A1048" i="38"/>
  <c r="A1047" i="38"/>
  <c r="A1046" i="38"/>
  <c r="A1045" i="38"/>
  <c r="A1044" i="38"/>
  <c r="A1043" i="38"/>
  <c r="A1042" i="38"/>
  <c r="A1041" i="38"/>
  <c r="A1040" i="38"/>
  <c r="A1039" i="38"/>
  <c r="A1038" i="38"/>
  <c r="A1037" i="38"/>
  <c r="A1036" i="38"/>
  <c r="A1035" i="38"/>
  <c r="A1034" i="38"/>
  <c r="A1033" i="38"/>
  <c r="A1032" i="38"/>
  <c r="A1031" i="38"/>
  <c r="A1030" i="38"/>
  <c r="A1029" i="38"/>
  <c r="A1028" i="38"/>
  <c r="A1027" i="38"/>
  <c r="A1026" i="38"/>
  <c r="A1025" i="38"/>
  <c r="A1024" i="38"/>
  <c r="A1023" i="38"/>
  <c r="A1022" i="38"/>
  <c r="A1021" i="38"/>
  <c r="A1020" i="38"/>
  <c r="A1019" i="38"/>
  <c r="A1018" i="38"/>
  <c r="A1017" i="38"/>
  <c r="A1016" i="38"/>
  <c r="A1015" i="38"/>
  <c r="A1014" i="38"/>
  <c r="A1013" i="38"/>
  <c r="A1012" i="38"/>
  <c r="A1011" i="38"/>
  <c r="A1010" i="38"/>
  <c r="A1009" i="38"/>
  <c r="A1008" i="38"/>
  <c r="A1007" i="38"/>
  <c r="A1006" i="38"/>
  <c r="A1005" i="38"/>
  <c r="A1004" i="38"/>
  <c r="A1003" i="38"/>
  <c r="A1002" i="38"/>
  <c r="A1001" i="38"/>
  <c r="A1000" i="38"/>
  <c r="A999" i="38"/>
  <c r="A998" i="38"/>
  <c r="A997" i="38"/>
  <c r="A996" i="38"/>
  <c r="A995" i="38"/>
  <c r="A994" i="38"/>
  <c r="A993" i="38"/>
  <c r="A992" i="38"/>
  <c r="A991" i="38"/>
  <c r="A990" i="38"/>
  <c r="A989" i="38"/>
  <c r="A988" i="38"/>
  <c r="A987" i="38"/>
  <c r="A986" i="38"/>
  <c r="A985" i="38"/>
  <c r="A984" i="38"/>
  <c r="A983" i="38"/>
  <c r="A982" i="38"/>
  <c r="A981" i="38"/>
  <c r="A980" i="38"/>
  <c r="A979" i="38"/>
  <c r="A978" i="38"/>
  <c r="A977" i="38"/>
  <c r="A976" i="38"/>
  <c r="A975" i="38"/>
  <c r="A974" i="38"/>
  <c r="A973" i="38"/>
  <c r="A972" i="38"/>
  <c r="A971" i="38"/>
  <c r="A970" i="38"/>
  <c r="A969" i="38"/>
  <c r="A968" i="38"/>
  <c r="A967" i="38"/>
  <c r="A966" i="38"/>
  <c r="A965" i="38"/>
  <c r="A964" i="38"/>
  <c r="A963" i="38"/>
  <c r="A962" i="38"/>
  <c r="A961" i="38"/>
  <c r="A960" i="38"/>
  <c r="A959" i="38"/>
  <c r="A958" i="38"/>
  <c r="A957" i="38"/>
  <c r="A956" i="38"/>
  <c r="A955" i="38"/>
  <c r="A954" i="38"/>
  <c r="A953" i="38"/>
  <c r="A952" i="38"/>
  <c r="A951" i="38"/>
  <c r="A950" i="38"/>
  <c r="A949" i="38"/>
  <c r="A948" i="38"/>
  <c r="A947" i="38"/>
  <c r="A946" i="38"/>
  <c r="A945" i="38"/>
  <c r="A944" i="38"/>
  <c r="A943" i="38"/>
  <c r="A942" i="38"/>
  <c r="A941" i="38"/>
  <c r="A940" i="38"/>
  <c r="A939" i="38"/>
  <c r="A938" i="38"/>
  <c r="A937" i="38"/>
  <c r="A936" i="38"/>
  <c r="A935" i="38"/>
  <c r="A934" i="38"/>
  <c r="A933" i="38"/>
  <c r="A932" i="38"/>
  <c r="A931" i="38"/>
  <c r="A930" i="38"/>
  <c r="A929" i="38"/>
  <c r="A928" i="38"/>
  <c r="A927" i="38"/>
  <c r="A926" i="38"/>
  <c r="A925" i="38"/>
  <c r="A924" i="38"/>
  <c r="A923" i="38"/>
  <c r="A922" i="38"/>
  <c r="A921" i="38"/>
  <c r="A920" i="38"/>
  <c r="A919" i="38"/>
  <c r="A918" i="38"/>
  <c r="A917" i="38"/>
  <c r="A916" i="38"/>
  <c r="A915" i="38"/>
  <c r="A914" i="38"/>
  <c r="A913" i="38"/>
  <c r="A912" i="38"/>
  <c r="A911" i="38"/>
  <c r="A910" i="38"/>
  <c r="A909" i="38"/>
  <c r="A908" i="38"/>
  <c r="A907" i="38"/>
  <c r="A906" i="38"/>
  <c r="A905" i="38"/>
  <c r="A904" i="38"/>
  <c r="A903" i="38"/>
  <c r="A902" i="38"/>
  <c r="A901" i="38"/>
  <c r="A900" i="38"/>
  <c r="A899" i="38"/>
  <c r="A898" i="38"/>
  <c r="A897" i="38"/>
  <c r="A896" i="38"/>
  <c r="A895" i="38"/>
  <c r="A894" i="38"/>
  <c r="A893" i="38"/>
  <c r="A892" i="38"/>
  <c r="A891" i="38"/>
  <c r="A890" i="38"/>
  <c r="A889" i="38"/>
  <c r="A888" i="38"/>
  <c r="A887" i="38"/>
  <c r="A886" i="38"/>
  <c r="A885" i="38"/>
  <c r="A884" i="38"/>
  <c r="A883" i="38"/>
  <c r="A882" i="38"/>
  <c r="A881" i="38"/>
  <c r="A880" i="38"/>
  <c r="A879" i="38"/>
  <c r="A878" i="38"/>
  <c r="A877" i="38"/>
  <c r="A876" i="38"/>
  <c r="A875" i="38"/>
  <c r="A874" i="38"/>
  <c r="A873" i="38"/>
  <c r="A872" i="38"/>
  <c r="A871" i="38"/>
  <c r="A870" i="38"/>
  <c r="A869" i="38"/>
  <c r="A868" i="38"/>
  <c r="A867" i="38"/>
  <c r="A866" i="38"/>
  <c r="A865" i="38"/>
  <c r="A864" i="38"/>
  <c r="A863" i="38"/>
  <c r="A862" i="38"/>
  <c r="A861" i="38"/>
  <c r="A860" i="38"/>
  <c r="A859" i="38"/>
  <c r="A858" i="38"/>
  <c r="A857" i="38"/>
  <c r="A856" i="38"/>
  <c r="A855" i="38"/>
  <c r="A854" i="38"/>
  <c r="A853" i="38"/>
  <c r="A852" i="38"/>
  <c r="A851" i="38"/>
  <c r="A850" i="38"/>
  <c r="A849" i="38"/>
  <c r="A848" i="38"/>
  <c r="A847" i="38"/>
  <c r="A846" i="38"/>
  <c r="A845" i="38"/>
  <c r="A844" i="38"/>
  <c r="A843" i="38"/>
  <c r="A842" i="38"/>
  <c r="A841" i="38"/>
  <c r="A840" i="38"/>
  <c r="A839" i="38"/>
  <c r="A838" i="38"/>
  <c r="A837" i="38"/>
  <c r="A836" i="38"/>
  <c r="A835" i="38"/>
  <c r="A834" i="38"/>
  <c r="A833" i="38"/>
  <c r="A832" i="38"/>
  <c r="A831" i="38"/>
  <c r="A830" i="38"/>
  <c r="A829" i="38"/>
  <c r="A828" i="38"/>
  <c r="A827" i="38"/>
  <c r="A826" i="38"/>
  <c r="A825" i="38"/>
  <c r="A824" i="38"/>
  <c r="A823" i="38"/>
  <c r="A822" i="38"/>
  <c r="A821" i="38"/>
  <c r="A820" i="38"/>
  <c r="A819" i="38"/>
  <c r="A818" i="38"/>
  <c r="A817" i="38"/>
  <c r="A816" i="38"/>
  <c r="A815" i="38"/>
  <c r="A814" i="38"/>
  <c r="A813" i="38"/>
  <c r="A812" i="38"/>
  <c r="A811" i="38"/>
  <c r="A810" i="38"/>
  <c r="A809" i="38"/>
  <c r="A808" i="38"/>
  <c r="A807" i="38"/>
  <c r="A806" i="38"/>
  <c r="A805" i="38"/>
  <c r="A804" i="38"/>
  <c r="A803" i="38"/>
  <c r="A802" i="38"/>
  <c r="A801" i="38"/>
  <c r="A800" i="38"/>
  <c r="A799" i="38"/>
  <c r="A798" i="38"/>
  <c r="A797" i="38"/>
  <c r="A796" i="38"/>
  <c r="A795" i="38"/>
  <c r="A794" i="38"/>
  <c r="A793" i="38"/>
  <c r="A792" i="38"/>
  <c r="A791" i="38"/>
  <c r="A790" i="38"/>
  <c r="A789" i="38"/>
  <c r="A788" i="38"/>
  <c r="A787" i="38"/>
  <c r="A786" i="38"/>
  <c r="A785" i="38"/>
  <c r="A784" i="38"/>
  <c r="A783" i="38"/>
  <c r="A782" i="38"/>
  <c r="A781" i="38"/>
  <c r="A780" i="38"/>
  <c r="A779" i="38"/>
  <c r="A778" i="38"/>
  <c r="A777" i="38"/>
  <c r="A776" i="38"/>
  <c r="A775" i="38"/>
  <c r="A774" i="38"/>
  <c r="A773" i="38"/>
  <c r="A772" i="38"/>
  <c r="A771" i="38"/>
  <c r="A770" i="38"/>
  <c r="A769" i="38"/>
  <c r="A768" i="38"/>
  <c r="A767" i="38"/>
  <c r="A766" i="38"/>
  <c r="A765" i="38"/>
  <c r="A764" i="38"/>
  <c r="A763" i="38"/>
  <c r="A762" i="38"/>
  <c r="A761" i="38"/>
  <c r="A760" i="38"/>
  <c r="A759" i="38"/>
  <c r="A758" i="38"/>
  <c r="A757" i="38"/>
  <c r="A756" i="38"/>
  <c r="A755" i="38"/>
  <c r="A754" i="38"/>
  <c r="A753" i="38"/>
  <c r="A752" i="38"/>
  <c r="A751" i="38"/>
  <c r="A750" i="38"/>
  <c r="A749" i="38"/>
  <c r="A748" i="38"/>
  <c r="A747" i="38"/>
  <c r="A746" i="38"/>
  <c r="A745" i="38"/>
  <c r="A744" i="38"/>
  <c r="A743" i="38"/>
  <c r="A742" i="38"/>
  <c r="A741" i="38"/>
  <c r="A740" i="38"/>
  <c r="A739" i="38"/>
  <c r="A738" i="38"/>
  <c r="A737" i="38"/>
  <c r="A736" i="38"/>
  <c r="A735" i="38"/>
  <c r="A734" i="38"/>
  <c r="A733" i="38"/>
  <c r="A732" i="38"/>
  <c r="A731" i="38"/>
  <c r="A730" i="38"/>
  <c r="A729" i="38"/>
  <c r="A728" i="38"/>
  <c r="A727" i="38"/>
  <c r="A726" i="38"/>
  <c r="A725" i="38"/>
  <c r="A724" i="38"/>
  <c r="A723" i="38"/>
  <c r="A722" i="38"/>
  <c r="A721" i="38"/>
  <c r="A720" i="38"/>
  <c r="A719" i="38"/>
  <c r="A718" i="38"/>
  <c r="A717" i="38"/>
  <c r="A716" i="38"/>
  <c r="A715" i="38"/>
  <c r="A714" i="38"/>
  <c r="A713" i="38"/>
  <c r="A712" i="38"/>
  <c r="A711" i="38"/>
  <c r="A710" i="38"/>
  <c r="A709" i="38"/>
  <c r="A708" i="38"/>
  <c r="A707" i="38"/>
  <c r="A706" i="38"/>
  <c r="A705" i="38"/>
  <c r="A704" i="38"/>
  <c r="A703" i="38"/>
  <c r="A702" i="38"/>
  <c r="A701" i="38"/>
  <c r="A700" i="38"/>
  <c r="A699" i="38"/>
  <c r="A698" i="38"/>
  <c r="A697" i="38"/>
  <c r="A696" i="38"/>
  <c r="A695" i="38"/>
  <c r="A694" i="38"/>
  <c r="A693" i="38"/>
  <c r="A692" i="38"/>
  <c r="A691" i="38"/>
  <c r="A690" i="38"/>
  <c r="A689" i="38"/>
  <c r="A688" i="38"/>
  <c r="A687" i="38"/>
  <c r="A686" i="38"/>
  <c r="A685" i="38"/>
  <c r="A684" i="38"/>
  <c r="A683" i="38"/>
  <c r="A682" i="38"/>
  <c r="A681" i="38"/>
  <c r="A680" i="38"/>
  <c r="A679" i="38"/>
  <c r="A678" i="38"/>
  <c r="A677" i="38"/>
  <c r="A676" i="38"/>
  <c r="A675" i="38"/>
  <c r="A674" i="38"/>
  <c r="A673" i="38"/>
  <c r="A672" i="38"/>
  <c r="A671" i="38"/>
  <c r="A670" i="38"/>
  <c r="A669" i="38"/>
  <c r="A668" i="38"/>
  <c r="A667" i="38"/>
  <c r="A666" i="38"/>
  <c r="A665" i="38"/>
  <c r="A664" i="38"/>
  <c r="A663" i="38"/>
  <c r="A662" i="38"/>
  <c r="A661" i="38"/>
  <c r="A660" i="38"/>
  <c r="A659" i="38"/>
  <c r="A658" i="38"/>
  <c r="A657" i="38"/>
  <c r="A656" i="38"/>
  <c r="A655" i="38"/>
  <c r="A654" i="38"/>
  <c r="A653" i="38"/>
  <c r="A652" i="38"/>
  <c r="A651" i="38"/>
  <c r="A650" i="38"/>
  <c r="A649" i="38"/>
  <c r="A648" i="38"/>
  <c r="A647" i="38"/>
  <c r="A646" i="38"/>
  <c r="A645" i="38"/>
  <c r="A644" i="38"/>
  <c r="A643" i="38"/>
  <c r="A642" i="38"/>
  <c r="A641" i="38"/>
  <c r="A640" i="38"/>
  <c r="A639" i="38"/>
  <c r="A638" i="38"/>
  <c r="A637" i="38"/>
  <c r="A636" i="38"/>
  <c r="A635" i="38"/>
  <c r="A634" i="38"/>
  <c r="A633" i="38"/>
  <c r="A632" i="38"/>
  <c r="A631" i="38"/>
  <c r="A630" i="38"/>
  <c r="A629" i="38"/>
  <c r="A628" i="38"/>
  <c r="A627" i="38"/>
  <c r="A626" i="38"/>
  <c r="A625" i="38"/>
  <c r="A624" i="38"/>
  <c r="A623" i="38"/>
  <c r="A622" i="38"/>
  <c r="A621" i="38"/>
  <c r="A620" i="38"/>
  <c r="A619" i="38"/>
  <c r="A618" i="38"/>
  <c r="A617" i="38"/>
  <c r="A616" i="38"/>
  <c r="A615" i="38"/>
  <c r="A614" i="38"/>
  <c r="A613" i="38"/>
  <c r="A612" i="38"/>
  <c r="A611" i="38"/>
  <c r="A610" i="38"/>
  <c r="A609" i="38"/>
  <c r="A608" i="38"/>
  <c r="A607" i="38"/>
  <c r="A606" i="38"/>
  <c r="A605" i="38"/>
  <c r="A604" i="38"/>
  <c r="A603" i="38"/>
  <c r="A602" i="38"/>
  <c r="A601" i="38"/>
  <c r="A600" i="38"/>
  <c r="A599" i="38"/>
  <c r="A598" i="38"/>
  <c r="A597" i="38"/>
  <c r="A596" i="38"/>
  <c r="A595" i="38"/>
  <c r="A594" i="38"/>
  <c r="A593" i="38"/>
  <c r="A592" i="38"/>
  <c r="A591" i="38"/>
  <c r="A590" i="38"/>
  <c r="A589" i="38"/>
  <c r="A588" i="38"/>
  <c r="A587" i="38"/>
  <c r="A586" i="38"/>
  <c r="A585" i="38"/>
  <c r="A584" i="38"/>
  <c r="A583" i="38"/>
  <c r="A582" i="38"/>
  <c r="A581" i="38"/>
  <c r="A580" i="38"/>
  <c r="A579" i="38"/>
  <c r="A578" i="38"/>
  <c r="A577" i="38"/>
  <c r="A576" i="38"/>
  <c r="A575" i="38"/>
  <c r="A574" i="38"/>
  <c r="A573" i="38"/>
  <c r="A572" i="38"/>
  <c r="A571" i="38"/>
  <c r="A570" i="38"/>
  <c r="A569" i="38"/>
  <c r="A568" i="38"/>
  <c r="A567" i="38"/>
  <c r="A566" i="38"/>
  <c r="A565" i="38"/>
  <c r="A564" i="38"/>
  <c r="A563" i="38"/>
  <c r="A562" i="38"/>
  <c r="A561" i="38"/>
  <c r="A560" i="38"/>
  <c r="A559" i="38"/>
  <c r="A558" i="38"/>
  <c r="A557" i="38"/>
  <c r="A556" i="38"/>
  <c r="A555" i="38"/>
  <c r="A554" i="38"/>
  <c r="A553" i="38"/>
  <c r="A552" i="38"/>
  <c r="A551" i="38"/>
  <c r="A550" i="38"/>
  <c r="A549" i="38"/>
  <c r="A548" i="38"/>
  <c r="A547" i="38"/>
  <c r="A546" i="38"/>
  <c r="A545" i="38"/>
  <c r="A544" i="38"/>
  <c r="A543" i="38"/>
  <c r="A542" i="38"/>
  <c r="A541" i="38"/>
  <c r="A540" i="38"/>
  <c r="A539" i="38"/>
  <c r="A538" i="38"/>
  <c r="A537" i="38"/>
  <c r="A536" i="38"/>
  <c r="A535" i="38"/>
  <c r="A534" i="38"/>
  <c r="A533" i="38"/>
  <c r="A532" i="38"/>
  <c r="A531" i="38"/>
  <c r="A530" i="38"/>
  <c r="A529" i="38"/>
  <c r="A528" i="38"/>
  <c r="A527" i="38"/>
  <c r="A526" i="38"/>
  <c r="A525" i="38"/>
  <c r="A524" i="38"/>
  <c r="A523" i="38"/>
  <c r="A522" i="38"/>
  <c r="A521" i="38"/>
  <c r="A520" i="38"/>
  <c r="A519" i="38"/>
  <c r="A518" i="38"/>
  <c r="A517" i="38"/>
  <c r="A516" i="38"/>
  <c r="A515" i="38"/>
  <c r="A514" i="38"/>
  <c r="A513" i="38"/>
  <c r="A512" i="38"/>
  <c r="A511" i="38"/>
  <c r="A510" i="38"/>
  <c r="A509" i="38"/>
  <c r="A508" i="38"/>
  <c r="A507" i="38"/>
  <c r="A506" i="38"/>
  <c r="A505" i="38"/>
  <c r="A504" i="38"/>
  <c r="A503" i="38"/>
  <c r="A502" i="38"/>
  <c r="A501" i="38"/>
  <c r="A500" i="38"/>
  <c r="A499" i="38"/>
  <c r="A498" i="38"/>
  <c r="A497" i="38"/>
  <c r="A496" i="38"/>
  <c r="A495" i="38"/>
  <c r="A494" i="38"/>
  <c r="A493" i="38"/>
  <c r="A492" i="38"/>
  <c r="A491" i="38"/>
  <c r="A490" i="38"/>
  <c r="A489" i="38"/>
  <c r="A488" i="38"/>
  <c r="A487" i="38"/>
  <c r="A486" i="38"/>
  <c r="A485" i="38"/>
  <c r="A484" i="38"/>
  <c r="A483" i="38"/>
  <c r="A482" i="38"/>
  <c r="A481" i="38"/>
  <c r="A480" i="38"/>
  <c r="A479" i="38"/>
  <c r="A478" i="38"/>
  <c r="A477" i="38"/>
  <c r="A476" i="38"/>
  <c r="A475" i="38"/>
  <c r="A474" i="38"/>
  <c r="A473" i="38"/>
  <c r="A472" i="38"/>
  <c r="A471" i="38"/>
  <c r="A470" i="38"/>
  <c r="A469" i="38"/>
  <c r="A468" i="38"/>
  <c r="A467" i="38"/>
  <c r="A466" i="38"/>
  <c r="A465" i="38"/>
  <c r="A464" i="38"/>
  <c r="A463" i="38"/>
  <c r="A462" i="38"/>
  <c r="A461" i="38"/>
  <c r="A460" i="38"/>
  <c r="A459" i="38"/>
  <c r="A458" i="38"/>
  <c r="A457" i="38"/>
  <c r="A456" i="38"/>
  <c r="A455" i="38"/>
  <c r="A454" i="38"/>
  <c r="A453" i="38"/>
  <c r="A452" i="38"/>
  <c r="A451" i="38"/>
  <c r="A450" i="38"/>
  <c r="A449" i="38"/>
  <c r="A448" i="38"/>
  <c r="A447" i="38"/>
  <c r="A446" i="38"/>
  <c r="A445" i="38"/>
  <c r="A444" i="38"/>
  <c r="A443" i="38"/>
  <c r="A442" i="38"/>
  <c r="A441" i="38"/>
  <c r="A440" i="38"/>
  <c r="A439" i="38"/>
  <c r="A438" i="38"/>
  <c r="A437" i="38"/>
  <c r="A436" i="38"/>
  <c r="A435" i="38"/>
  <c r="A434" i="38"/>
  <c r="A433" i="38"/>
  <c r="A432" i="38"/>
  <c r="A431" i="38"/>
  <c r="A430" i="38"/>
  <c r="A429" i="38"/>
  <c r="A428" i="38"/>
  <c r="A427" i="38"/>
  <c r="A426" i="38"/>
  <c r="A425" i="38"/>
  <c r="A424" i="38"/>
  <c r="A423" i="38"/>
  <c r="A422" i="38"/>
  <c r="A421" i="38"/>
  <c r="A420" i="38"/>
  <c r="A419" i="38"/>
  <c r="A418" i="38"/>
  <c r="A417" i="38"/>
  <c r="A416" i="38"/>
  <c r="A415" i="38"/>
  <c r="A414" i="38"/>
  <c r="A413" i="38"/>
  <c r="A412" i="38"/>
  <c r="A411" i="38"/>
  <c r="A410" i="38"/>
  <c r="A409" i="38"/>
  <c r="A408" i="38"/>
  <c r="A407" i="38"/>
  <c r="A406" i="38"/>
  <c r="A405" i="38"/>
  <c r="A404" i="38"/>
  <c r="A403" i="38"/>
  <c r="A402" i="38"/>
  <c r="A401" i="38"/>
  <c r="A400" i="38"/>
  <c r="A399" i="38"/>
  <c r="A398" i="38"/>
  <c r="A397" i="38"/>
  <c r="A396" i="38"/>
  <c r="A395" i="38"/>
  <c r="A394" i="38"/>
  <c r="A393" i="38"/>
  <c r="A392" i="38"/>
  <c r="A391" i="38"/>
  <c r="A390" i="38"/>
  <c r="A389" i="38"/>
  <c r="A388" i="38"/>
  <c r="A387" i="38"/>
  <c r="A386" i="38"/>
  <c r="A385" i="38"/>
  <c r="A384" i="38"/>
  <c r="A383" i="38"/>
  <c r="A382" i="38"/>
  <c r="A381" i="38"/>
  <c r="A380" i="38"/>
  <c r="A379" i="38"/>
  <c r="A378" i="38"/>
  <c r="A377" i="38"/>
  <c r="A376" i="38"/>
  <c r="A375" i="38"/>
  <c r="A374" i="38"/>
  <c r="A373" i="38"/>
  <c r="A372" i="38"/>
  <c r="A371" i="38"/>
  <c r="A370" i="38"/>
  <c r="A369" i="38"/>
  <c r="A368" i="38"/>
  <c r="A367" i="38"/>
  <c r="A366" i="38"/>
  <c r="A365" i="38"/>
  <c r="A364" i="38"/>
  <c r="A363" i="38"/>
  <c r="A362" i="38"/>
  <c r="A361" i="38"/>
  <c r="A360" i="38"/>
  <c r="A359" i="38"/>
  <c r="A358" i="38"/>
  <c r="A357" i="38"/>
  <c r="A356" i="38"/>
  <c r="A355" i="38"/>
  <c r="A354" i="38"/>
  <c r="A353" i="38"/>
  <c r="A352" i="38"/>
  <c r="A351" i="38"/>
  <c r="A350" i="38"/>
  <c r="A349" i="38"/>
  <c r="A348" i="38"/>
  <c r="A347" i="38"/>
  <c r="A346" i="38"/>
  <c r="A345" i="38"/>
  <c r="A344" i="38"/>
  <c r="A343" i="38"/>
  <c r="A342" i="38"/>
  <c r="A341" i="38"/>
  <c r="A340" i="38"/>
  <c r="A339" i="38"/>
  <c r="A338" i="38"/>
  <c r="A337" i="38"/>
  <c r="A336" i="38"/>
  <c r="A335" i="38"/>
  <c r="A334" i="38"/>
  <c r="A333" i="38"/>
  <c r="A332" i="38"/>
  <c r="A331" i="38"/>
  <c r="A330" i="38"/>
  <c r="A329" i="38"/>
  <c r="A328" i="38"/>
  <c r="A327" i="38"/>
  <c r="A326" i="38"/>
  <c r="A325" i="38"/>
  <c r="A324" i="38"/>
  <c r="A323" i="38"/>
  <c r="A322" i="38"/>
  <c r="A321" i="38"/>
  <c r="A320" i="38"/>
  <c r="A319" i="38"/>
  <c r="A318" i="38"/>
  <c r="A317" i="38"/>
  <c r="A316" i="38"/>
  <c r="A315" i="38"/>
  <c r="A314" i="38"/>
  <c r="A313" i="38"/>
  <c r="A312" i="38"/>
  <c r="A311" i="38"/>
  <c r="A310" i="38"/>
  <c r="A309" i="38"/>
  <c r="A308" i="38"/>
  <c r="A307" i="38"/>
  <c r="A306" i="38"/>
  <c r="A305" i="38"/>
  <c r="A304" i="38"/>
  <c r="A303" i="38"/>
  <c r="A302" i="38"/>
  <c r="A301" i="38"/>
  <c r="A300" i="38"/>
  <c r="A299" i="38"/>
  <c r="A298" i="38"/>
  <c r="A297" i="38"/>
  <c r="A296" i="38"/>
  <c r="A295" i="38"/>
  <c r="A294" i="38"/>
  <c r="A293" i="38"/>
  <c r="A292" i="38"/>
  <c r="A291" i="38"/>
  <c r="A290" i="38"/>
  <c r="A289" i="38"/>
  <c r="A288" i="38"/>
  <c r="A287" i="38"/>
  <c r="A286" i="38"/>
  <c r="A285" i="38"/>
  <c r="A284" i="38"/>
  <c r="A283" i="38"/>
  <c r="A282" i="38"/>
  <c r="A281" i="38"/>
  <c r="A280" i="38"/>
  <c r="A279" i="38"/>
  <c r="A278" i="38"/>
  <c r="A277" i="38"/>
  <c r="A276" i="38"/>
  <c r="A275" i="38"/>
  <c r="A274" i="38"/>
  <c r="A273" i="38"/>
  <c r="A272" i="38"/>
  <c r="A271" i="38"/>
  <c r="A270" i="38"/>
  <c r="A269" i="38"/>
  <c r="A268" i="38"/>
  <c r="A267" i="38"/>
  <c r="A266" i="38"/>
  <c r="A265" i="38"/>
  <c r="A264" i="38"/>
  <c r="A263" i="38"/>
  <c r="A262" i="38"/>
  <c r="A261" i="38"/>
  <c r="A260" i="38"/>
  <c r="A259" i="38"/>
  <c r="A258" i="38"/>
  <c r="A257" i="38"/>
  <c r="A256" i="38"/>
  <c r="A255" i="38"/>
  <c r="A254" i="38"/>
  <c r="A253" i="38"/>
  <c r="A252" i="38"/>
  <c r="A251" i="38"/>
  <c r="A250" i="38"/>
  <c r="A249" i="38"/>
  <c r="A248" i="38"/>
  <c r="A247" i="38"/>
  <c r="A246" i="38"/>
  <c r="A245" i="38"/>
  <c r="A244" i="38"/>
  <c r="A243" i="38"/>
  <c r="A242" i="38"/>
  <c r="A241" i="38"/>
  <c r="A240" i="38"/>
  <c r="A239" i="38"/>
  <c r="A238" i="38"/>
  <c r="A237" i="38"/>
  <c r="A236" i="38"/>
  <c r="A235" i="38"/>
  <c r="A234" i="38"/>
  <c r="A233" i="38"/>
  <c r="A232" i="38"/>
  <c r="A231" i="38"/>
  <c r="A230" i="38"/>
  <c r="A229" i="38"/>
  <c r="A228" i="38"/>
  <c r="A227" i="38"/>
  <c r="A226" i="38"/>
  <c r="A225" i="38"/>
  <c r="A224" i="38"/>
  <c r="A223" i="38"/>
  <c r="A222" i="38"/>
  <c r="A221" i="38"/>
  <c r="A220" i="38"/>
  <c r="A219" i="38"/>
  <c r="A218" i="38"/>
  <c r="A217" i="38"/>
  <c r="A216" i="38"/>
  <c r="A215" i="38"/>
  <c r="A214" i="38"/>
  <c r="A213" i="38"/>
  <c r="A212" i="38"/>
  <c r="A211" i="38"/>
  <c r="A210" i="38"/>
  <c r="A209" i="38"/>
  <c r="A208" i="38"/>
  <c r="A207" i="38"/>
  <c r="A206" i="38"/>
  <c r="A205" i="38"/>
  <c r="A204" i="38"/>
  <c r="A203" i="38"/>
  <c r="A202" i="38"/>
  <c r="A201" i="38"/>
  <c r="A200" i="38"/>
  <c r="A199" i="38"/>
  <c r="A198" i="38"/>
  <c r="A197" i="38"/>
  <c r="A196" i="38"/>
  <c r="A195" i="38"/>
  <c r="A194" i="38"/>
  <c r="A193" i="38"/>
  <c r="A192" i="38"/>
  <c r="A191" i="38"/>
  <c r="A190" i="38"/>
  <c r="A189" i="38"/>
  <c r="A188" i="38"/>
  <c r="A187" i="38"/>
  <c r="A186" i="38"/>
  <c r="A185" i="38"/>
  <c r="A184" i="38"/>
  <c r="A183" i="38"/>
  <c r="A182" i="38"/>
  <c r="A181" i="38"/>
  <c r="A180" i="38"/>
  <c r="A179" i="38"/>
  <c r="A178" i="38"/>
  <c r="A177" i="38"/>
  <c r="A176" i="38"/>
  <c r="A175" i="38"/>
  <c r="A174" i="38"/>
  <c r="A173" i="38"/>
  <c r="A172" i="38"/>
  <c r="A171" i="38"/>
  <c r="A170" i="38"/>
  <c r="A169" i="38"/>
  <c r="A168" i="38"/>
  <c r="A167" i="38"/>
  <c r="A166" i="38"/>
  <c r="A165" i="38"/>
  <c r="A164" i="38"/>
  <c r="A163" i="38"/>
  <c r="A162" i="38"/>
  <c r="A161" i="38"/>
  <c r="A160" i="38"/>
  <c r="A159" i="38"/>
  <c r="A158" i="38"/>
  <c r="A157" i="38"/>
  <c r="A156" i="38"/>
  <c r="A155" i="38"/>
  <c r="A154" i="38"/>
  <c r="A153" i="38"/>
  <c r="A152" i="38"/>
  <c r="A151" i="38"/>
  <c r="A150" i="38"/>
  <c r="A149" i="38"/>
  <c r="A148" i="38"/>
  <c r="A147" i="38"/>
  <c r="A146" i="38"/>
  <c r="A145" i="38"/>
  <c r="A144" i="38"/>
  <c r="A143" i="38"/>
  <c r="A142" i="38"/>
  <c r="A141" i="38"/>
  <c r="A140" i="38"/>
  <c r="A139" i="38"/>
  <c r="A138" i="38"/>
  <c r="A137" i="38"/>
  <c r="A136" i="38"/>
  <c r="A135" i="38"/>
  <c r="A134" i="38"/>
  <c r="A133" i="38"/>
  <c r="A132" i="38"/>
  <c r="A131" i="38"/>
  <c r="A130" i="38"/>
  <c r="A129" i="38"/>
  <c r="A128" i="38"/>
  <c r="A127" i="38"/>
  <c r="A126" i="38"/>
  <c r="A125" i="38"/>
  <c r="A124" i="38"/>
  <c r="A123" i="38"/>
  <c r="A122" i="38"/>
  <c r="A121" i="38"/>
  <c r="A120" i="38"/>
  <c r="A119" i="38"/>
  <c r="A118" i="38"/>
  <c r="A117" i="38"/>
  <c r="A116" i="38"/>
  <c r="A115" i="38"/>
  <c r="A114" i="38"/>
  <c r="A113" i="38"/>
  <c r="A112" i="38"/>
  <c r="A111" i="38"/>
  <c r="A110" i="38"/>
  <c r="A109" i="38"/>
  <c r="A108" i="38"/>
  <c r="A107" i="38"/>
  <c r="A106" i="38"/>
  <c r="A105" i="38"/>
  <c r="A104" i="38"/>
  <c r="A103" i="38"/>
  <c r="A102" i="38"/>
  <c r="A101" i="38"/>
  <c r="A100" i="38"/>
  <c r="A99" i="38"/>
  <c r="A98" i="38"/>
  <c r="A97" i="38"/>
  <c r="A96" i="38"/>
  <c r="A95" i="38"/>
  <c r="A94" i="38"/>
  <c r="A93" i="38"/>
  <c r="A92" i="38"/>
  <c r="A91" i="38"/>
  <c r="A90" i="38"/>
  <c r="A89" i="38"/>
  <c r="A88" i="38"/>
  <c r="A87" i="38"/>
  <c r="A86" i="38"/>
  <c r="A85" i="38"/>
  <c r="A84" i="38"/>
  <c r="A83" i="38"/>
  <c r="A82" i="38"/>
  <c r="A81" i="38"/>
  <c r="A80" i="38"/>
  <c r="A79" i="38"/>
  <c r="A78" i="38"/>
  <c r="A77" i="38"/>
  <c r="A76" i="38"/>
  <c r="A75" i="38"/>
  <c r="A74" i="38"/>
  <c r="A73" i="38"/>
  <c r="A72" i="38"/>
  <c r="A71" i="38"/>
  <c r="A70" i="38"/>
  <c r="A69" i="38"/>
  <c r="A68" i="38"/>
  <c r="A67" i="38"/>
  <c r="A66" i="38"/>
  <c r="A65" i="38"/>
  <c r="A64" i="38"/>
  <c r="A63" i="38"/>
  <c r="A62" i="38"/>
  <c r="A61" i="38"/>
  <c r="A60" i="38"/>
  <c r="A59" i="38"/>
  <c r="A58" i="38"/>
  <c r="A57" i="38"/>
  <c r="A56" i="38"/>
  <c r="A55" i="38"/>
  <c r="A54" i="38"/>
  <c r="A53" i="38"/>
  <c r="A52" i="38"/>
  <c r="A51" i="38"/>
  <c r="A50" i="38"/>
  <c r="A49" i="38"/>
  <c r="A48" i="38"/>
  <c r="A47" i="38"/>
  <c r="A46" i="38"/>
  <c r="A45" i="38"/>
  <c r="A44" i="38"/>
  <c r="A43" i="38"/>
  <c r="A42" i="38"/>
  <c r="A41" i="38"/>
  <c r="A40" i="38"/>
  <c r="A39" i="38"/>
  <c r="A38" i="38"/>
  <c r="A37" i="38"/>
  <c r="A36" i="38"/>
  <c r="A35" i="38"/>
  <c r="A34" i="38"/>
  <c r="A33" i="38"/>
  <c r="A32" i="38"/>
  <c r="A31" i="38"/>
  <c r="A30" i="38"/>
  <c r="A29" i="38"/>
  <c r="A28" i="38"/>
  <c r="A27" i="38"/>
  <c r="A26" i="38"/>
  <c r="A25" i="38"/>
  <c r="A24" i="38"/>
  <c r="A23" i="38"/>
  <c r="A22" i="38"/>
  <c r="A21" i="38"/>
  <c r="A20" i="38"/>
  <c r="A19" i="38"/>
  <c r="A18" i="38"/>
  <c r="A17" i="38"/>
  <c r="A16" i="38"/>
  <c r="A15" i="38"/>
  <c r="A14" i="38"/>
  <c r="A13" i="38"/>
  <c r="A12" i="38"/>
  <c r="A11" i="38"/>
  <c r="A10" i="38"/>
  <c r="A9" i="38"/>
  <c r="A8" i="38"/>
  <c r="A7" i="38"/>
  <c r="A6" i="38"/>
  <c r="A5" i="38"/>
  <c r="A4" i="38"/>
  <c r="A3" i="38"/>
  <c r="A2" i="38"/>
  <c r="A420" i="37"/>
  <c r="A419" i="37"/>
  <c r="A418" i="37"/>
  <c r="A417" i="37"/>
  <c r="A416" i="37"/>
  <c r="A415" i="37"/>
  <c r="A414" i="37"/>
  <c r="A413" i="37"/>
  <c r="A412" i="37"/>
  <c r="A411" i="37"/>
  <c r="A410" i="37"/>
  <c r="A409" i="37"/>
  <c r="A408" i="37"/>
  <c r="A407" i="37"/>
  <c r="A406" i="37"/>
  <c r="A405" i="37"/>
  <c r="A404" i="37"/>
  <c r="A403" i="37"/>
  <c r="A402" i="37"/>
  <c r="A401" i="37"/>
  <c r="A400" i="37"/>
  <c r="A399" i="37"/>
  <c r="A398" i="37"/>
  <c r="A397" i="37"/>
  <c r="A396" i="37"/>
  <c r="A395" i="37"/>
  <c r="A394" i="37"/>
  <c r="A393" i="37"/>
  <c r="A392" i="37"/>
  <c r="A391" i="37"/>
  <c r="A390" i="37"/>
  <c r="A389" i="37"/>
  <c r="A388" i="37"/>
  <c r="A387" i="37"/>
  <c r="A386" i="37"/>
  <c r="A385" i="37"/>
  <c r="A384" i="37"/>
  <c r="A383" i="37"/>
  <c r="A382" i="37"/>
  <c r="A381" i="37"/>
  <c r="A380" i="37"/>
  <c r="A379" i="37"/>
  <c r="A378" i="37"/>
  <c r="A377" i="37"/>
  <c r="A376" i="37"/>
  <c r="A375" i="37"/>
  <c r="A374" i="37"/>
  <c r="A373" i="37"/>
  <c r="A372" i="37"/>
  <c r="A371" i="37"/>
  <c r="A370" i="37"/>
  <c r="A369" i="37"/>
  <c r="A368" i="37"/>
  <c r="A367" i="37"/>
  <c r="A366" i="37"/>
  <c r="A365" i="37"/>
  <c r="A364" i="37"/>
  <c r="A363" i="37"/>
  <c r="A362" i="37"/>
  <c r="A361" i="37"/>
  <c r="A360" i="37"/>
  <c r="A359" i="37"/>
  <c r="A358" i="37"/>
  <c r="A357" i="37"/>
  <c r="A356" i="37"/>
  <c r="A355" i="37"/>
  <c r="A354" i="37"/>
  <c r="A353" i="37"/>
  <c r="A352" i="37"/>
  <c r="A351" i="37"/>
  <c r="A350" i="37"/>
  <c r="A349" i="37"/>
  <c r="A348" i="37"/>
  <c r="A347" i="37"/>
  <c r="A346" i="37"/>
  <c r="A345" i="37"/>
  <c r="A344" i="37"/>
  <c r="A343" i="37"/>
  <c r="A342" i="37"/>
  <c r="A341" i="37"/>
  <c r="A340" i="37"/>
  <c r="A339" i="37"/>
  <c r="A338" i="37"/>
  <c r="A337" i="37"/>
  <c r="A336" i="37"/>
  <c r="A335" i="37"/>
  <c r="A334" i="37"/>
  <c r="A333" i="37"/>
  <c r="A332" i="37"/>
  <c r="A331" i="37"/>
  <c r="A330" i="37"/>
  <c r="A329" i="37"/>
  <c r="A328" i="37"/>
  <c r="A327" i="37"/>
  <c r="A326" i="37"/>
  <c r="A325" i="37"/>
  <c r="A324" i="37"/>
  <c r="A323" i="37"/>
  <c r="A322" i="37"/>
  <c r="A321" i="37"/>
  <c r="A320" i="37"/>
  <c r="A319" i="37"/>
  <c r="A318" i="37"/>
  <c r="A317" i="37"/>
  <c r="A316" i="37"/>
  <c r="A315" i="37"/>
  <c r="A314" i="37"/>
  <c r="A313" i="37"/>
  <c r="A312" i="37"/>
  <c r="A311" i="37"/>
  <c r="A310" i="37"/>
  <c r="A309" i="37"/>
  <c r="A308" i="37"/>
  <c r="A307" i="37"/>
  <c r="A306" i="37"/>
  <c r="A305" i="37"/>
  <c r="A304" i="37"/>
  <c r="A303" i="37"/>
  <c r="A302" i="37"/>
  <c r="A301" i="37"/>
  <c r="A300" i="37"/>
  <c r="A299" i="37"/>
  <c r="A298" i="37"/>
  <c r="A297" i="37"/>
  <c r="A296" i="37"/>
  <c r="A295" i="37"/>
  <c r="A294" i="37"/>
  <c r="A293" i="37"/>
  <c r="A292" i="37"/>
  <c r="A291" i="37"/>
  <c r="A290" i="37"/>
  <c r="A289" i="37"/>
  <c r="A288" i="37"/>
  <c r="A287" i="37"/>
  <c r="A286" i="37"/>
  <c r="A285" i="37"/>
  <c r="A284" i="37"/>
  <c r="A283" i="37"/>
  <c r="A282" i="37"/>
  <c r="A281" i="37"/>
  <c r="A280" i="37"/>
  <c r="A279" i="37"/>
  <c r="A278" i="37"/>
  <c r="A277" i="37"/>
  <c r="A276" i="37"/>
  <c r="A275" i="37"/>
  <c r="A274" i="37"/>
  <c r="A273" i="37"/>
  <c r="A272" i="37"/>
  <c r="A271" i="37"/>
  <c r="A270" i="37"/>
  <c r="A269" i="37"/>
  <c r="A268" i="37"/>
  <c r="A267" i="37"/>
  <c r="A266" i="37"/>
  <c r="A265" i="37"/>
  <c r="A264" i="37"/>
  <c r="A263" i="37"/>
  <c r="A262" i="37"/>
  <c r="A261" i="37"/>
  <c r="A260" i="37"/>
  <c r="A259" i="37"/>
  <c r="A258" i="37"/>
  <c r="A257" i="37"/>
  <c r="A256" i="37"/>
  <c r="A255" i="37"/>
  <c r="A254" i="37"/>
  <c r="A253" i="37"/>
  <c r="A252" i="37"/>
  <c r="A251" i="37"/>
  <c r="A250" i="37"/>
  <c r="A249" i="37"/>
  <c r="A248" i="37"/>
  <c r="A247" i="37"/>
  <c r="A246" i="37"/>
  <c r="A245" i="37"/>
  <c r="A244" i="37"/>
  <c r="A243" i="37"/>
  <c r="A242" i="37"/>
  <c r="A241" i="37"/>
  <c r="A240" i="37"/>
  <c r="A239" i="37"/>
  <c r="A238" i="37"/>
  <c r="A237" i="37"/>
  <c r="A236" i="37"/>
  <c r="A235" i="37"/>
  <c r="A234" i="37"/>
  <c r="A233" i="37"/>
  <c r="A232" i="37"/>
  <c r="A231" i="37"/>
  <c r="A230" i="37"/>
  <c r="A229" i="37"/>
  <c r="A228" i="37"/>
  <c r="A227" i="37"/>
  <c r="A226" i="37"/>
  <c r="A225" i="37"/>
  <c r="A224" i="37"/>
  <c r="A223" i="37"/>
  <c r="A222" i="37"/>
  <c r="A221" i="37"/>
  <c r="A220" i="37"/>
  <c r="A219" i="37"/>
  <c r="A218" i="37"/>
  <c r="A217" i="37"/>
  <c r="A216" i="37"/>
  <c r="A215" i="37"/>
  <c r="A214" i="37"/>
  <c r="A213" i="37"/>
  <c r="A212" i="37"/>
  <c r="A211" i="37"/>
  <c r="A210" i="37"/>
  <c r="A209" i="37"/>
  <c r="A208" i="37"/>
  <c r="A207" i="37"/>
  <c r="A206" i="37"/>
  <c r="A205" i="37"/>
  <c r="A204" i="37"/>
  <c r="A203" i="37"/>
  <c r="A202" i="37"/>
  <c r="A201" i="37"/>
  <c r="A200" i="37"/>
  <c r="A199" i="37"/>
  <c r="A198" i="37"/>
  <c r="A197" i="37"/>
  <c r="A196" i="37"/>
  <c r="A195" i="37"/>
  <c r="A194" i="37"/>
  <c r="A193" i="37"/>
  <c r="A192" i="37"/>
  <c r="A191" i="37"/>
  <c r="A190" i="37"/>
  <c r="A189" i="37"/>
  <c r="A188" i="37"/>
  <c r="A187" i="37"/>
  <c r="A186" i="37"/>
  <c r="A185" i="37"/>
  <c r="A184" i="37"/>
  <c r="A183" i="37"/>
  <c r="A182" i="37"/>
  <c r="A181" i="37"/>
  <c r="A180" i="37"/>
  <c r="A179" i="37"/>
  <c r="A178" i="37"/>
  <c r="A177" i="37"/>
  <c r="A176" i="37"/>
  <c r="A175" i="37"/>
  <c r="A174" i="37"/>
  <c r="A173" i="37"/>
  <c r="A172" i="37"/>
  <c r="A171" i="37"/>
  <c r="A170" i="37"/>
  <c r="A169" i="37"/>
  <c r="A168" i="37"/>
  <c r="A167" i="37"/>
  <c r="A166" i="37"/>
  <c r="A165" i="37"/>
  <c r="A164" i="37"/>
  <c r="A163" i="37"/>
  <c r="A162" i="37"/>
  <c r="A161" i="37"/>
  <c r="A160" i="37"/>
  <c r="A159" i="37"/>
  <c r="A158" i="37"/>
  <c r="A157" i="37"/>
  <c r="A156" i="37"/>
  <c r="A155" i="37"/>
  <c r="A154" i="37"/>
  <c r="A153" i="37"/>
  <c r="A152" i="37"/>
  <c r="A151" i="37"/>
  <c r="A150" i="37"/>
  <c r="A149" i="37"/>
  <c r="A148" i="37"/>
  <c r="A147" i="37"/>
  <c r="A146" i="37"/>
  <c r="A145" i="37"/>
  <c r="A144" i="37"/>
  <c r="A143" i="37"/>
  <c r="A142" i="37"/>
  <c r="A141" i="37"/>
  <c r="A140" i="37"/>
  <c r="A139" i="37"/>
  <c r="A138" i="37"/>
  <c r="A137" i="37"/>
  <c r="A136" i="37"/>
  <c r="A135" i="37"/>
  <c r="A134" i="37"/>
  <c r="A133" i="37"/>
  <c r="A132" i="37"/>
  <c r="A131" i="37"/>
  <c r="A130" i="37"/>
  <c r="A129" i="37"/>
  <c r="A128" i="37"/>
  <c r="A127" i="37"/>
  <c r="A126" i="37"/>
  <c r="A125" i="37"/>
  <c r="A124" i="37"/>
  <c r="A123" i="37"/>
  <c r="A122" i="37"/>
  <c r="A121" i="37"/>
  <c r="A120" i="37"/>
  <c r="A119" i="37"/>
  <c r="A118" i="37"/>
  <c r="A117" i="37"/>
  <c r="A116" i="37"/>
  <c r="A115" i="37"/>
  <c r="A114" i="37"/>
  <c r="A113" i="37"/>
  <c r="A112" i="37"/>
  <c r="A111" i="37"/>
  <c r="A110" i="37"/>
  <c r="A109" i="37"/>
  <c r="A108" i="37"/>
  <c r="A107" i="37"/>
  <c r="A106" i="37"/>
  <c r="A105" i="37"/>
  <c r="A104" i="37"/>
  <c r="A103" i="37"/>
  <c r="A102" i="37"/>
  <c r="A101" i="37"/>
  <c r="A100" i="37"/>
  <c r="A99" i="37"/>
  <c r="A98" i="37"/>
  <c r="A97" i="37"/>
  <c r="A96" i="37"/>
  <c r="A95" i="37"/>
  <c r="A94" i="37"/>
  <c r="A93" i="37"/>
  <c r="A92" i="37"/>
  <c r="A91" i="37"/>
  <c r="A90" i="37"/>
  <c r="A89" i="37"/>
  <c r="A88" i="37"/>
  <c r="A87" i="37"/>
  <c r="A86" i="37"/>
  <c r="A85" i="37"/>
  <c r="A84" i="37"/>
  <c r="A83" i="37"/>
  <c r="A82" i="37"/>
  <c r="A81" i="37"/>
  <c r="A80" i="37"/>
  <c r="A79" i="37"/>
  <c r="A78" i="37"/>
  <c r="A77" i="37"/>
  <c r="A76" i="37"/>
  <c r="A75" i="37"/>
  <c r="A74" i="37"/>
  <c r="A73" i="37"/>
  <c r="A72" i="37"/>
  <c r="A71" i="37"/>
  <c r="A70" i="37"/>
  <c r="A69" i="37"/>
  <c r="A68" i="37"/>
  <c r="A67" i="37"/>
  <c r="A66" i="37"/>
  <c r="A65" i="37"/>
  <c r="A64" i="37"/>
  <c r="A63" i="37"/>
  <c r="A62" i="37"/>
  <c r="A61" i="37"/>
  <c r="A60" i="37"/>
  <c r="A59" i="37"/>
  <c r="A58" i="37"/>
  <c r="A57" i="37"/>
  <c r="A56" i="37"/>
  <c r="A55" i="37"/>
  <c r="A54" i="37"/>
  <c r="A53" i="37"/>
  <c r="A52" i="37"/>
  <c r="A51" i="37"/>
  <c r="A50" i="37"/>
  <c r="A49" i="37"/>
  <c r="A48" i="37"/>
  <c r="A47" i="37"/>
  <c r="A46" i="37"/>
  <c r="A45" i="37"/>
  <c r="A44" i="37"/>
  <c r="A43" i="37"/>
  <c r="A42" i="37"/>
  <c r="A41" i="37"/>
  <c r="A40" i="37"/>
  <c r="A39" i="37"/>
  <c r="A38" i="37"/>
  <c r="A37" i="37"/>
  <c r="A36" i="37"/>
  <c r="A35" i="37"/>
  <c r="A34" i="37"/>
  <c r="A33" i="37"/>
  <c r="A32" i="37"/>
  <c r="A31" i="37"/>
  <c r="A30" i="37"/>
  <c r="A29" i="37"/>
  <c r="A28" i="37"/>
  <c r="A27" i="37"/>
  <c r="A26" i="37"/>
  <c r="A25" i="37"/>
  <c r="A24" i="37"/>
  <c r="A23" i="37"/>
  <c r="A22" i="37"/>
  <c r="A21" i="37"/>
  <c r="A20" i="37"/>
  <c r="A19" i="37"/>
  <c r="A18" i="37"/>
  <c r="A17" i="37"/>
  <c r="A16" i="37"/>
  <c r="A15" i="37"/>
  <c r="A14" i="37"/>
  <c r="A13" i="37"/>
  <c r="A12" i="37"/>
  <c r="A11" i="37"/>
  <c r="A10" i="37"/>
  <c r="A9" i="37"/>
  <c r="A8" i="37"/>
  <c r="A7" i="37"/>
  <c r="A6" i="37"/>
  <c r="A5" i="37"/>
  <c r="A4" i="37"/>
  <c r="A3" i="37"/>
  <c r="A2" i="37"/>
  <c r="A13" i="36"/>
  <c r="A12" i="36"/>
  <c r="A11" i="36"/>
  <c r="A10" i="36"/>
  <c r="A9" i="36"/>
  <c r="A8" i="36"/>
  <c r="A7" i="36"/>
  <c r="A6" i="36"/>
  <c r="A5" i="36"/>
  <c r="A4" i="36"/>
  <c r="A3" i="36"/>
  <c r="A2" i="36"/>
  <c r="A6" i="35"/>
  <c r="A5" i="35"/>
  <c r="A4" i="35"/>
  <c r="A3" i="35"/>
  <c r="A2" i="35"/>
  <c r="A23" i="34"/>
  <c r="A22" i="34"/>
  <c r="A21" i="34"/>
  <c r="A20" i="34"/>
  <c r="A19" i="34"/>
  <c r="A18" i="34"/>
  <c r="A17" i="34"/>
  <c r="A16" i="34"/>
  <c r="A15" i="34"/>
  <c r="A14" i="34"/>
  <c r="A13" i="34"/>
  <c r="A12" i="34"/>
  <c r="A11" i="34"/>
  <c r="A10" i="34"/>
  <c r="A9" i="34"/>
  <c r="A8" i="34"/>
  <c r="A7" i="34"/>
  <c r="A6" i="34"/>
  <c r="A5" i="34"/>
  <c r="A4" i="34"/>
  <c r="A3" i="34"/>
  <c r="A2" i="34"/>
  <c r="A3" i="33"/>
  <c r="A2" i="33"/>
  <c r="A5" i="32"/>
  <c r="A4" i="32"/>
  <c r="A3" i="32"/>
  <c r="A2" i="32"/>
  <c r="A7" i="31"/>
  <c r="A6" i="31"/>
  <c r="A5" i="31"/>
  <c r="A4" i="31"/>
  <c r="A3" i="31"/>
  <c r="A2" i="31"/>
  <c r="A109" i="30"/>
  <c r="A108" i="30"/>
  <c r="A107" i="30"/>
  <c r="A106" i="30"/>
  <c r="A105" i="30"/>
  <c r="A104" i="30"/>
  <c r="A103" i="30"/>
  <c r="A102" i="30"/>
  <c r="A101" i="30"/>
  <c r="A100" i="30"/>
  <c r="A99" i="30"/>
  <c r="A98" i="30"/>
  <c r="A97" i="30"/>
  <c r="A96" i="30"/>
  <c r="A95" i="30"/>
  <c r="A94" i="30"/>
  <c r="A93" i="30"/>
  <c r="A92" i="30"/>
  <c r="A91" i="30"/>
  <c r="A90" i="30"/>
  <c r="A89" i="30"/>
  <c r="A88" i="30"/>
  <c r="A87" i="30"/>
  <c r="A86" i="30"/>
  <c r="A85" i="30"/>
  <c r="A84" i="30"/>
  <c r="A83" i="30"/>
  <c r="A82" i="30"/>
  <c r="A81" i="30"/>
  <c r="A80" i="30"/>
  <c r="A79" i="30"/>
  <c r="A78" i="30"/>
  <c r="A77" i="30"/>
  <c r="A76" i="30"/>
  <c r="A75" i="30"/>
  <c r="A74" i="30"/>
  <c r="A73" i="30"/>
  <c r="A72" i="30"/>
  <c r="A71" i="30"/>
  <c r="A70" i="30"/>
  <c r="A69" i="30"/>
  <c r="A68" i="30"/>
  <c r="A67" i="30"/>
  <c r="A66" i="30"/>
  <c r="A65" i="30"/>
  <c r="A64" i="30"/>
  <c r="A63" i="30"/>
  <c r="A62" i="30"/>
  <c r="A61" i="30"/>
  <c r="A60" i="30"/>
  <c r="A59" i="30"/>
  <c r="A58" i="30"/>
  <c r="A57" i="30"/>
  <c r="A56" i="30"/>
  <c r="A55" i="30"/>
  <c r="A54" i="30"/>
  <c r="A53" i="30"/>
  <c r="A52" i="30"/>
  <c r="A51" i="30"/>
  <c r="A50" i="30"/>
  <c r="A49" i="30"/>
  <c r="A48" i="30"/>
  <c r="A47" i="30"/>
  <c r="A46" i="30"/>
  <c r="A45" i="30"/>
  <c r="A44" i="30"/>
  <c r="A43" i="30"/>
  <c r="A42" i="30"/>
  <c r="A41" i="30"/>
  <c r="A40" i="30"/>
  <c r="A39" i="30"/>
  <c r="A38" i="30"/>
  <c r="A37" i="30"/>
  <c r="A36" i="30"/>
  <c r="A35" i="30"/>
  <c r="A34" i="30"/>
  <c r="A33" i="30"/>
  <c r="A32" i="30"/>
  <c r="A31" i="30"/>
  <c r="A30" i="30"/>
  <c r="A29" i="30"/>
  <c r="A28" i="30"/>
  <c r="A27" i="30"/>
  <c r="A26" i="30"/>
  <c r="A25" i="30"/>
  <c r="A24" i="30"/>
  <c r="A23" i="30"/>
  <c r="A22" i="30"/>
  <c r="A21" i="30"/>
  <c r="A20" i="30"/>
  <c r="A19" i="30"/>
  <c r="A18" i="30"/>
  <c r="A17" i="30"/>
  <c r="A16" i="30"/>
  <c r="A15" i="30"/>
  <c r="A14" i="30"/>
  <c r="A13" i="30"/>
  <c r="A12" i="30"/>
  <c r="A11" i="30"/>
  <c r="A10" i="30"/>
  <c r="A9" i="30"/>
  <c r="A8" i="30"/>
  <c r="A7" i="30"/>
  <c r="A6" i="30"/>
  <c r="A5" i="30"/>
  <c r="A4" i="30"/>
  <c r="A3" i="30"/>
  <c r="A2" i="30"/>
  <c r="A40" i="29"/>
  <c r="A39" i="29"/>
  <c r="A38" i="29"/>
  <c r="A37" i="29"/>
  <c r="A36" i="29"/>
  <c r="A35" i="29"/>
  <c r="A34" i="29"/>
  <c r="A33" i="29"/>
  <c r="A32" i="29"/>
  <c r="A31" i="29"/>
  <c r="A30" i="29"/>
  <c r="A29" i="29"/>
  <c r="A28" i="29"/>
  <c r="A27" i="29"/>
  <c r="A26" i="29"/>
  <c r="A25" i="29"/>
  <c r="A24" i="29"/>
  <c r="A23" i="29"/>
  <c r="A22" i="29"/>
  <c r="A21" i="29"/>
  <c r="A20" i="29"/>
  <c r="A19" i="29"/>
  <c r="A18" i="29"/>
  <c r="A17" i="29"/>
  <c r="A16" i="29"/>
  <c r="A15" i="29"/>
  <c r="A14" i="29"/>
  <c r="A13" i="29"/>
  <c r="A12" i="29"/>
  <c r="A11" i="29"/>
  <c r="A10" i="29"/>
  <c r="A9" i="29"/>
  <c r="A8" i="29"/>
  <c r="A7" i="29"/>
  <c r="A6" i="29"/>
  <c r="A5" i="29"/>
  <c r="A4" i="29"/>
  <c r="A3" i="29"/>
  <c r="A2" i="29"/>
  <c r="A20" i="28"/>
  <c r="A19" i="28"/>
  <c r="A18" i="28"/>
  <c r="A17" i="28"/>
  <c r="A16" i="28"/>
  <c r="A15" i="28"/>
  <c r="A14" i="28"/>
  <c r="A13" i="28"/>
  <c r="A12" i="28"/>
  <c r="A11" i="28"/>
  <c r="A10" i="28"/>
  <c r="A9" i="28"/>
  <c r="A8" i="28"/>
  <c r="A7" i="28"/>
  <c r="A6" i="28"/>
  <c r="A5" i="28"/>
  <c r="A4" i="28"/>
  <c r="A3" i="28"/>
  <c r="A2" i="28"/>
  <c r="A15" i="27"/>
  <c r="A14" i="27"/>
  <c r="A13" i="27"/>
  <c r="A12" i="27"/>
  <c r="A11" i="27"/>
  <c r="A10" i="27"/>
  <c r="A9" i="27"/>
  <c r="A8" i="27"/>
  <c r="A7" i="27"/>
  <c r="A6" i="27"/>
  <c r="A5" i="27"/>
  <c r="A4" i="27"/>
  <c r="A3" i="27"/>
  <c r="A2" i="27"/>
  <c r="A35" i="26"/>
  <c r="A34" i="26"/>
  <c r="A33" i="26"/>
  <c r="A32" i="26"/>
  <c r="A31" i="26"/>
  <c r="A30" i="26"/>
  <c r="A29" i="26"/>
  <c r="A28" i="26"/>
  <c r="A27" i="26"/>
  <c r="A26" i="26"/>
  <c r="A25" i="26"/>
  <c r="A24" i="26"/>
  <c r="A23" i="26"/>
  <c r="A22" i="26"/>
  <c r="A21" i="26"/>
  <c r="A20" i="26"/>
  <c r="A19" i="26"/>
  <c r="A18" i="26"/>
  <c r="A17" i="26"/>
  <c r="A16" i="26"/>
  <c r="A15" i="26"/>
  <c r="A14" i="26"/>
  <c r="A13" i="26"/>
  <c r="A12" i="26"/>
  <c r="A11" i="26"/>
  <c r="A10" i="26"/>
  <c r="A9" i="26"/>
  <c r="A8" i="26"/>
  <c r="A7" i="26"/>
  <c r="A6" i="26"/>
  <c r="A5" i="26"/>
  <c r="A4" i="26"/>
  <c r="A3" i="26"/>
  <c r="A2" i="26"/>
  <c r="A5" i="25"/>
  <c r="A4" i="25"/>
  <c r="A3" i="25"/>
  <c r="A2" i="25"/>
  <c r="A4" i="24"/>
  <c r="A3" i="24"/>
  <c r="A2" i="24"/>
  <c r="A29" i="23"/>
  <c r="A28" i="23"/>
  <c r="A27" i="23"/>
  <c r="A26" i="23"/>
  <c r="A25" i="23"/>
  <c r="A24" i="23"/>
  <c r="A23" i="23"/>
  <c r="A22" i="23"/>
  <c r="A21" i="23"/>
  <c r="A20" i="23"/>
  <c r="A19" i="23"/>
  <c r="A18" i="23"/>
  <c r="A17" i="23"/>
  <c r="A16" i="23"/>
  <c r="A15" i="23"/>
  <c r="A14" i="23"/>
  <c r="A13" i="23"/>
  <c r="A12" i="23"/>
  <c r="A11" i="23"/>
  <c r="A10" i="23"/>
  <c r="A9" i="23"/>
  <c r="A8" i="23"/>
  <c r="A7" i="23"/>
  <c r="A6" i="23"/>
  <c r="A5" i="23"/>
  <c r="A4" i="23"/>
  <c r="A3" i="23"/>
  <c r="A2" i="23"/>
  <c r="A3" i="22"/>
  <c r="A2" i="22"/>
  <c r="A4" i="21"/>
  <c r="A3" i="21"/>
  <c r="A2" i="21"/>
  <c r="A7" i="20"/>
  <c r="A6" i="20"/>
  <c r="A5" i="20"/>
  <c r="A4" i="20"/>
  <c r="A3" i="20"/>
  <c r="A2" i="20"/>
  <c r="A15" i="19"/>
  <c r="A14" i="19"/>
  <c r="A13" i="19"/>
  <c r="A12" i="19"/>
  <c r="A11" i="19"/>
  <c r="A10" i="19"/>
  <c r="A9" i="19"/>
  <c r="A8" i="19"/>
  <c r="A7" i="19"/>
  <c r="A6" i="19"/>
  <c r="A5" i="19"/>
  <c r="A4" i="19"/>
  <c r="A3" i="19"/>
  <c r="A2" i="19"/>
  <c r="A4" i="18"/>
  <c r="A3" i="18"/>
  <c r="A2" i="18"/>
  <c r="A3" i="17"/>
  <c r="A2" i="17"/>
  <c r="A21" i="16"/>
  <c r="A20" i="16"/>
  <c r="A19" i="16"/>
  <c r="A18" i="16"/>
  <c r="A17" i="16"/>
  <c r="A16" i="16"/>
  <c r="A15" i="16"/>
  <c r="A14" i="16"/>
  <c r="A13" i="16"/>
  <c r="A12" i="16"/>
  <c r="A11" i="16"/>
  <c r="A10" i="16"/>
  <c r="A9" i="16"/>
  <c r="A8" i="16"/>
  <c r="A7" i="16"/>
  <c r="A6" i="16"/>
  <c r="A5" i="16"/>
  <c r="A4" i="16"/>
  <c r="A3" i="16"/>
  <c r="A2" i="16"/>
  <c r="A4" i="15"/>
  <c r="A3" i="15"/>
  <c r="A2" i="15"/>
  <c r="A46" i="14"/>
  <c r="A45" i="14"/>
  <c r="A44" i="14"/>
  <c r="A43" i="14"/>
  <c r="A42" i="14"/>
  <c r="A41" i="14"/>
  <c r="A40" i="14"/>
  <c r="A39" i="14"/>
  <c r="A38" i="14"/>
  <c r="A37" i="14"/>
  <c r="A36" i="14"/>
  <c r="A35" i="14"/>
  <c r="A34" i="14"/>
  <c r="A33" i="14"/>
  <c r="A32" i="14"/>
  <c r="A31" i="14"/>
  <c r="A30" i="14"/>
  <c r="A29" i="14"/>
  <c r="A28" i="14"/>
  <c r="A27" i="14"/>
  <c r="A26" i="14"/>
  <c r="A25" i="14"/>
  <c r="A24" i="14"/>
  <c r="A23" i="14"/>
  <c r="A22" i="14"/>
  <c r="A21" i="14"/>
  <c r="A20" i="14"/>
  <c r="A19" i="14"/>
  <c r="A18" i="14"/>
  <c r="A17" i="14"/>
  <c r="A16" i="14"/>
  <c r="A15" i="14"/>
  <c r="A14" i="14"/>
  <c r="A13" i="14"/>
  <c r="A12" i="14"/>
  <c r="A11" i="14"/>
  <c r="A10" i="14"/>
  <c r="A9" i="14"/>
  <c r="A8" i="14"/>
  <c r="A7" i="14"/>
  <c r="A6" i="14"/>
  <c r="A5" i="14"/>
  <c r="A4" i="14"/>
  <c r="A3" i="14"/>
  <c r="A2" i="14"/>
  <c r="A13" i="13"/>
  <c r="A12" i="13"/>
  <c r="A11" i="13"/>
  <c r="A10" i="13"/>
  <c r="A9" i="13"/>
  <c r="A8" i="13"/>
  <c r="A7" i="13"/>
  <c r="A6" i="13"/>
  <c r="A5" i="13"/>
  <c r="A4" i="13"/>
  <c r="A3" i="13"/>
  <c r="A2" i="13"/>
  <c r="A12" i="12"/>
  <c r="A11" i="12"/>
  <c r="A10" i="12"/>
  <c r="A9" i="12"/>
  <c r="A8" i="12"/>
  <c r="A7" i="12"/>
  <c r="A6" i="12"/>
  <c r="A5" i="12"/>
  <c r="A4" i="12"/>
  <c r="A3" i="12"/>
  <c r="A2" i="12"/>
  <c r="A6" i="11"/>
  <c r="A5" i="11"/>
  <c r="A4" i="11"/>
  <c r="A3" i="11"/>
  <c r="A2" i="11"/>
  <c r="A6" i="10"/>
  <c r="A5" i="10"/>
  <c r="A4" i="10"/>
  <c r="A3" i="10"/>
  <c r="A2" i="10"/>
  <c r="A14" i="9"/>
  <c r="A13" i="9"/>
  <c r="A12" i="9"/>
  <c r="A11" i="9"/>
  <c r="A10" i="9"/>
  <c r="A9" i="9"/>
  <c r="A8" i="9"/>
  <c r="A7" i="9"/>
  <c r="A6" i="9"/>
  <c r="A5" i="9"/>
  <c r="A4" i="9"/>
  <c r="A3" i="9"/>
  <c r="A2" i="9"/>
  <c r="A4" i="8"/>
  <c r="A3" i="8"/>
  <c r="A2" i="8"/>
  <c r="A20" i="7"/>
  <c r="A19" i="7"/>
  <c r="A18" i="7"/>
  <c r="A17" i="7"/>
  <c r="A16" i="7"/>
  <c r="A15" i="7"/>
  <c r="A14" i="7"/>
  <c r="A13" i="7"/>
  <c r="A12" i="7"/>
  <c r="A11" i="7"/>
  <c r="A10" i="7"/>
  <c r="A9" i="7"/>
  <c r="A8" i="7"/>
  <c r="A7" i="7"/>
  <c r="A6" i="7"/>
  <c r="A5" i="7"/>
  <c r="A4" i="7"/>
  <c r="A3" i="7"/>
  <c r="A2" i="7"/>
  <c r="A11" i="6"/>
  <c r="A10" i="6"/>
  <c r="A9" i="6"/>
  <c r="A8" i="6"/>
  <c r="A7" i="6"/>
  <c r="A6" i="6"/>
  <c r="A5" i="6"/>
  <c r="A4" i="6"/>
  <c r="A3" i="6"/>
  <c r="A2" i="6"/>
  <c r="A11" i="5"/>
  <c r="A10" i="5"/>
  <c r="A9" i="5"/>
  <c r="A8" i="5"/>
  <c r="A7" i="5"/>
  <c r="A6" i="5"/>
  <c r="A5" i="5"/>
  <c r="A4" i="5"/>
  <c r="A3" i="5"/>
  <c r="A2" i="5"/>
  <c r="A241" i="4"/>
  <c r="A240" i="4"/>
  <c r="A239" i="4"/>
  <c r="A238" i="4"/>
  <c r="A237" i="4"/>
  <c r="A236" i="4"/>
  <c r="A235" i="4"/>
  <c r="A234" i="4"/>
  <c r="A233" i="4"/>
  <c r="A232" i="4"/>
  <c r="A231" i="4"/>
  <c r="A230" i="4"/>
  <c r="A229" i="4"/>
  <c r="A228" i="4"/>
  <c r="A227" i="4"/>
  <c r="A226" i="4"/>
  <c r="A225" i="4"/>
  <c r="A224" i="4"/>
  <c r="A223" i="4"/>
  <c r="A222" i="4"/>
  <c r="A221" i="4"/>
  <c r="A220" i="4"/>
  <c r="A219" i="4"/>
  <c r="A218" i="4"/>
  <c r="A217" i="4"/>
  <c r="A216" i="4"/>
  <c r="A215" i="4"/>
  <c r="A214" i="4"/>
  <c r="A213" i="4"/>
  <c r="A212" i="4"/>
  <c r="A211" i="4"/>
  <c r="A210" i="4"/>
  <c r="A209" i="4"/>
  <c r="A208" i="4"/>
  <c r="A207" i="4"/>
  <c r="A206" i="4"/>
  <c r="A205" i="4"/>
  <c r="A204" i="4"/>
  <c r="A203" i="4"/>
  <c r="A202" i="4"/>
  <c r="A201" i="4"/>
  <c r="A200" i="4"/>
  <c r="A199" i="4"/>
  <c r="A198" i="4"/>
  <c r="A197" i="4"/>
  <c r="A196" i="4"/>
  <c r="A195" i="4"/>
  <c r="A194" i="4"/>
  <c r="A193" i="4"/>
  <c r="A192" i="4"/>
  <c r="A191" i="4"/>
  <c r="A190" i="4"/>
  <c r="A189" i="4"/>
  <c r="A188" i="4"/>
  <c r="A187" i="4"/>
  <c r="A186" i="4"/>
  <c r="A185" i="4"/>
  <c r="A184" i="4"/>
  <c r="A183" i="4"/>
  <c r="A182" i="4"/>
  <c r="A181" i="4"/>
  <c r="A180" i="4"/>
  <c r="A179" i="4"/>
  <c r="A178" i="4"/>
  <c r="A177" i="4"/>
  <c r="A176" i="4"/>
  <c r="A175" i="4"/>
  <c r="A174" i="4"/>
  <c r="A173" i="4"/>
  <c r="A172" i="4"/>
  <c r="A171" i="4"/>
  <c r="A170" i="4"/>
  <c r="A169" i="4"/>
  <c r="A168" i="4"/>
  <c r="A167" i="4"/>
  <c r="A166" i="4"/>
  <c r="A165" i="4"/>
  <c r="A164" i="4"/>
  <c r="A163" i="4"/>
  <c r="A162" i="4"/>
  <c r="A161" i="4"/>
  <c r="A160" i="4"/>
  <c r="A159" i="4"/>
  <c r="A158" i="4"/>
  <c r="A157" i="4"/>
  <c r="A156" i="4"/>
  <c r="A155" i="4"/>
  <c r="A154" i="4"/>
  <c r="A153" i="4"/>
  <c r="A152" i="4"/>
  <c r="A151" i="4"/>
  <c r="A150" i="4"/>
  <c r="A149" i="4"/>
  <c r="A148" i="4"/>
  <c r="A147" i="4"/>
  <c r="A146" i="4"/>
  <c r="A145" i="4"/>
  <c r="A144" i="4"/>
  <c r="A143" i="4"/>
  <c r="A142" i="4"/>
  <c r="A141" i="4"/>
  <c r="A140" i="4"/>
  <c r="A139" i="4"/>
  <c r="A138" i="4"/>
  <c r="A137" i="4"/>
  <c r="A136" i="4"/>
  <c r="A135" i="4"/>
  <c r="A134" i="4"/>
  <c r="A133" i="4"/>
  <c r="A132" i="4"/>
  <c r="A131" i="4"/>
  <c r="A130" i="4"/>
  <c r="A129" i="4"/>
  <c r="A128" i="4"/>
  <c r="A127" i="4"/>
  <c r="A126" i="4"/>
  <c r="A125" i="4"/>
  <c r="A124" i="4"/>
  <c r="A123" i="4"/>
  <c r="A122" i="4"/>
  <c r="A121" i="4"/>
  <c r="A120" i="4"/>
  <c r="A119" i="4"/>
  <c r="A118" i="4"/>
  <c r="A117" i="4"/>
  <c r="A116" i="4"/>
  <c r="A115" i="4"/>
  <c r="A114" i="4"/>
  <c r="A113" i="4"/>
  <c r="A112" i="4"/>
  <c r="A111" i="4"/>
  <c r="A110" i="4"/>
  <c r="A109" i="4"/>
  <c r="A108" i="4"/>
  <c r="A107" i="4"/>
  <c r="A106" i="4"/>
  <c r="A105" i="4"/>
  <c r="A104" i="4"/>
  <c r="A103" i="4"/>
  <c r="A102" i="4"/>
  <c r="A101" i="4"/>
  <c r="A100" i="4"/>
  <c r="A99" i="4"/>
  <c r="A98" i="4"/>
  <c r="A97" i="4"/>
  <c r="A96" i="4"/>
  <c r="A95" i="4"/>
  <c r="A94" i="4"/>
  <c r="A93" i="4"/>
  <c r="A92" i="4"/>
  <c r="A91" i="4"/>
  <c r="A90" i="4"/>
  <c r="A89" i="4"/>
  <c r="A88" i="4"/>
  <c r="A87" i="4"/>
  <c r="A86" i="4"/>
  <c r="A85" i="4"/>
  <c r="A84" i="4"/>
  <c r="A83" i="4"/>
  <c r="A82" i="4"/>
  <c r="A81" i="4"/>
  <c r="A80" i="4"/>
  <c r="A79" i="4"/>
  <c r="A78" i="4"/>
  <c r="A77" i="4"/>
  <c r="A76" i="4"/>
  <c r="A75" i="4"/>
  <c r="A74" i="4"/>
  <c r="A73" i="4"/>
  <c r="A72" i="4"/>
  <c r="A71" i="4"/>
  <c r="A70" i="4"/>
  <c r="A69" i="4"/>
  <c r="A68" i="4"/>
  <c r="A67" i="4"/>
  <c r="A66" i="4"/>
  <c r="A65" i="4"/>
  <c r="A64" i="4"/>
  <c r="A63" i="4"/>
  <c r="A62" i="4"/>
  <c r="A61" i="4"/>
  <c r="A60" i="4"/>
  <c r="A59" i="4"/>
  <c r="A58" i="4"/>
  <c r="A57" i="4"/>
  <c r="A56" i="4"/>
  <c r="A55" i="4"/>
  <c r="A54" i="4"/>
  <c r="A53" i="4"/>
  <c r="A52" i="4"/>
  <c r="A51" i="4"/>
  <c r="A50" i="4"/>
  <c r="A49" i="4"/>
  <c r="A48" i="4"/>
  <c r="A47" i="4"/>
  <c r="A46" i="4"/>
  <c r="A45" i="4"/>
  <c r="A44" i="4"/>
  <c r="A43" i="4"/>
  <c r="A42" i="4"/>
  <c r="A41" i="4"/>
  <c r="A40" i="4"/>
  <c r="A39" i="4"/>
  <c r="A38" i="4"/>
  <c r="A37" i="4"/>
  <c r="A36" i="4"/>
  <c r="A35" i="4"/>
  <c r="A34" i="4"/>
  <c r="A33" i="4"/>
  <c r="A32" i="4"/>
  <c r="A31" i="4"/>
  <c r="A30" i="4"/>
  <c r="A29" i="4"/>
  <c r="A28" i="4"/>
  <c r="A27" i="4"/>
  <c r="A26" i="4"/>
  <c r="A25" i="4"/>
  <c r="A24" i="4"/>
  <c r="A23" i="4"/>
  <c r="A22" i="4"/>
  <c r="A21" i="4"/>
  <c r="A20" i="4"/>
  <c r="A19" i="4"/>
  <c r="A18" i="4"/>
  <c r="A17" i="4"/>
  <c r="A16" i="4"/>
  <c r="A15" i="4"/>
  <c r="A14" i="4"/>
  <c r="A13" i="4"/>
  <c r="A12" i="4"/>
  <c r="A11" i="4"/>
  <c r="A10" i="4"/>
  <c r="A9" i="4"/>
  <c r="A8" i="4"/>
  <c r="A7" i="4"/>
  <c r="A6" i="4"/>
  <c r="A5" i="4"/>
  <c r="A4" i="4"/>
  <c r="A3" i="4"/>
  <c r="A2" i="4"/>
  <c r="A63" i="3"/>
  <c r="A62" i="3"/>
  <c r="A61" i="3"/>
  <c r="A60" i="3"/>
  <c r="A59" i="3"/>
  <c r="A58" i="3"/>
  <c r="A57" i="3"/>
  <c r="A56" i="3"/>
  <c r="A55" i="3"/>
  <c r="A54" i="3"/>
  <c r="A53" i="3"/>
  <c r="A52" i="3"/>
  <c r="A51" i="3"/>
  <c r="A50" i="3"/>
  <c r="A49" i="3"/>
  <c r="A48" i="3"/>
  <c r="A47" i="3"/>
  <c r="A46" i="3"/>
  <c r="A45" i="3"/>
  <c r="A44" i="3"/>
  <c r="A43" i="3"/>
  <c r="A42" i="3"/>
  <c r="A41" i="3"/>
  <c r="A40" i="3"/>
  <c r="A39" i="3"/>
  <c r="A38" i="3"/>
  <c r="A37" i="3"/>
  <c r="A36" i="3"/>
  <c r="A35" i="3"/>
  <c r="A34" i="3"/>
  <c r="A33" i="3"/>
  <c r="A32" i="3"/>
  <c r="A31" i="3"/>
  <c r="A30" i="3"/>
  <c r="A29" i="3"/>
  <c r="A28" i="3"/>
  <c r="A27" i="3"/>
  <c r="A26" i="3"/>
  <c r="A25" i="3"/>
  <c r="A24" i="3"/>
  <c r="A23" i="3"/>
  <c r="A22" i="3"/>
  <c r="A21" i="3"/>
  <c r="A20" i="3"/>
  <c r="A19" i="3"/>
  <c r="A18" i="3"/>
  <c r="A17" i="3"/>
  <c r="A16" i="3"/>
  <c r="A15" i="3"/>
  <c r="A14" i="3"/>
  <c r="A13" i="3"/>
  <c r="A12" i="3"/>
  <c r="A11" i="3"/>
  <c r="A10" i="3"/>
  <c r="A9" i="3"/>
  <c r="A8" i="3"/>
  <c r="A7" i="3"/>
  <c r="A6" i="3"/>
  <c r="A5" i="3"/>
  <c r="A4" i="3"/>
  <c r="A3" i="3"/>
  <c r="A2" i="3"/>
  <c r="A277" i="2"/>
  <c r="A276" i="2"/>
  <c r="A275" i="2"/>
  <c r="A274" i="2"/>
  <c r="A273" i="2"/>
  <c r="A272" i="2"/>
  <c r="A271" i="2"/>
  <c r="A270" i="2"/>
  <c r="A269" i="2"/>
  <c r="A268" i="2"/>
  <c r="A267" i="2"/>
  <c r="A266" i="2"/>
  <c r="A265" i="2"/>
  <c r="A264" i="2"/>
  <c r="A263" i="2"/>
  <c r="A262" i="2"/>
  <c r="A261" i="2"/>
  <c r="A260" i="2"/>
  <c r="A259" i="2"/>
  <c r="A258" i="2"/>
  <c r="A257" i="2"/>
  <c r="A256" i="2"/>
  <c r="A255" i="2"/>
  <c r="A254" i="2"/>
  <c r="A253" i="2"/>
  <c r="A252" i="2"/>
  <c r="A251" i="2"/>
  <c r="A250" i="2"/>
  <c r="A249" i="2"/>
  <c r="A248" i="2"/>
  <c r="A247" i="2"/>
  <c r="A246" i="2"/>
  <c r="A245" i="2"/>
  <c r="A244" i="2"/>
  <c r="A243" i="2"/>
  <c r="A242" i="2"/>
  <c r="A241" i="2"/>
  <c r="A240" i="2"/>
  <c r="A239" i="2"/>
  <c r="A238" i="2"/>
  <c r="A237" i="2"/>
  <c r="A236" i="2"/>
  <c r="A235" i="2"/>
  <c r="A234" i="2"/>
  <c r="A233" i="2"/>
  <c r="A232" i="2"/>
  <c r="A231" i="2"/>
  <c r="A230" i="2"/>
  <c r="A229" i="2"/>
  <c r="A228" i="2"/>
  <c r="A227" i="2"/>
  <c r="A226" i="2"/>
  <c r="A225" i="2"/>
  <c r="A224" i="2"/>
  <c r="A223" i="2"/>
  <c r="A222" i="2"/>
  <c r="A221" i="2"/>
  <c r="A220" i="2"/>
  <c r="A219" i="2"/>
  <c r="A218" i="2"/>
  <c r="A217" i="2"/>
  <c r="A216" i="2"/>
  <c r="A215" i="2"/>
  <c r="A214" i="2"/>
  <c r="A213" i="2"/>
  <c r="A212" i="2"/>
  <c r="A211" i="2"/>
  <c r="A210" i="2"/>
  <c r="A209" i="2"/>
  <c r="A208" i="2"/>
  <c r="A207" i="2"/>
  <c r="A206" i="2"/>
  <c r="A205" i="2"/>
  <c r="A204" i="2"/>
  <c r="A203" i="2"/>
  <c r="A202" i="2"/>
  <c r="A201" i="2"/>
  <c r="A200" i="2"/>
  <c r="A199" i="2"/>
  <c r="A198" i="2"/>
  <c r="A197" i="2"/>
  <c r="A196" i="2"/>
  <c r="A195" i="2"/>
  <c r="A194" i="2"/>
  <c r="A193" i="2"/>
  <c r="A192" i="2"/>
  <c r="A191" i="2"/>
  <c r="A190" i="2"/>
  <c r="A189" i="2"/>
  <c r="A188" i="2"/>
  <c r="A187" i="2"/>
  <c r="A186" i="2"/>
  <c r="A185" i="2"/>
  <c r="A184" i="2"/>
  <c r="A183" i="2"/>
  <c r="A182" i="2"/>
  <c r="A181" i="2"/>
  <c r="A180" i="2"/>
  <c r="A179" i="2"/>
  <c r="A178" i="2"/>
  <c r="A177" i="2"/>
  <c r="A176" i="2"/>
  <c r="A175" i="2"/>
  <c r="A174" i="2"/>
  <c r="A173" i="2"/>
  <c r="A172" i="2"/>
  <c r="A171" i="2"/>
  <c r="A170" i="2"/>
  <c r="A169" i="2"/>
  <c r="A168" i="2"/>
  <c r="A167" i="2"/>
  <c r="A166" i="2"/>
  <c r="A165" i="2"/>
  <c r="A164" i="2"/>
  <c r="A163" i="2"/>
  <c r="A162" i="2"/>
  <c r="A161" i="2"/>
  <c r="A160" i="2"/>
  <c r="A159" i="2"/>
  <c r="A158" i="2"/>
  <c r="A157" i="2"/>
  <c r="A156" i="2"/>
  <c r="A155" i="2"/>
  <c r="A154" i="2"/>
  <c r="A153" i="2"/>
  <c r="A152" i="2"/>
  <c r="A151" i="2"/>
  <c r="A150" i="2"/>
  <c r="A149" i="2"/>
  <c r="A148" i="2"/>
  <c r="A147" i="2"/>
  <c r="A146" i="2"/>
  <c r="A145" i="2"/>
  <c r="A144" i="2"/>
  <c r="A143" i="2"/>
  <c r="A142" i="2"/>
  <c r="A141" i="2"/>
  <c r="A140" i="2"/>
  <c r="A139" i="2"/>
  <c r="A138" i="2"/>
  <c r="A137" i="2"/>
  <c r="A136" i="2"/>
  <c r="A135" i="2"/>
  <c r="A134" i="2"/>
  <c r="A133" i="2"/>
  <c r="A132" i="2"/>
  <c r="A131" i="2"/>
  <c r="A130" i="2"/>
  <c r="A129" i="2"/>
  <c r="A128" i="2"/>
  <c r="A127" i="2"/>
  <c r="A126" i="2"/>
  <c r="A125" i="2"/>
  <c r="A124" i="2"/>
  <c r="A123" i="2"/>
  <c r="A122" i="2"/>
  <c r="A121" i="2"/>
  <c r="A120" i="2"/>
  <c r="A119" i="2"/>
  <c r="A118" i="2"/>
  <c r="A117" i="2"/>
  <c r="A116" i="2"/>
  <c r="A115" i="2"/>
  <c r="A114" i="2"/>
  <c r="A113" i="2"/>
  <c r="A112" i="2"/>
  <c r="A111" i="2"/>
  <c r="A110" i="2"/>
  <c r="A109" i="2"/>
  <c r="A108" i="2"/>
  <c r="A107" i="2"/>
  <c r="A106" i="2"/>
  <c r="A105" i="2"/>
  <c r="A104" i="2"/>
  <c r="A103" i="2"/>
  <c r="A102" i="2"/>
  <c r="A101" i="2"/>
  <c r="A100" i="2"/>
  <c r="A99" i="2"/>
  <c r="A98" i="2"/>
  <c r="A97" i="2"/>
  <c r="A96" i="2"/>
  <c r="A95" i="2"/>
  <c r="A94" i="2"/>
  <c r="A93" i="2"/>
  <c r="A92" i="2"/>
  <c r="A91" i="2"/>
  <c r="A90" i="2"/>
  <c r="A89" i="2"/>
  <c r="A88" i="2"/>
  <c r="A87" i="2"/>
  <c r="A86" i="2"/>
  <c r="A85" i="2"/>
  <c r="A84" i="2"/>
  <c r="A83" i="2"/>
  <c r="A82" i="2"/>
  <c r="A81" i="2"/>
  <c r="A80" i="2"/>
  <c r="A79" i="2"/>
  <c r="A78" i="2"/>
  <c r="A77" i="2"/>
  <c r="A76" i="2"/>
  <c r="A75" i="2"/>
  <c r="A74" i="2"/>
  <c r="A73" i="2"/>
  <c r="A72" i="2"/>
  <c r="A71" i="2"/>
  <c r="A70" i="2"/>
  <c r="A69" i="2"/>
  <c r="A68" i="2"/>
  <c r="A67" i="2"/>
  <c r="A66" i="2"/>
  <c r="A65" i="2"/>
  <c r="A64" i="2"/>
  <c r="A63" i="2"/>
  <c r="A62" i="2"/>
  <c r="A61" i="2"/>
  <c r="A60" i="2"/>
  <c r="A59" i="2"/>
  <c r="A58" i="2"/>
  <c r="A57" i="2"/>
  <c r="A56" i="2"/>
  <c r="A55" i="2"/>
  <c r="A54" i="2"/>
  <c r="A53" i="2"/>
  <c r="A52" i="2"/>
  <c r="A51" i="2"/>
  <c r="A50" i="2"/>
  <c r="A49" i="2"/>
  <c r="A48" i="2"/>
  <c r="A47" i="2"/>
  <c r="A46" i="2"/>
  <c r="A45" i="2"/>
  <c r="A44" i="2"/>
  <c r="A43" i="2"/>
  <c r="A42" i="2"/>
  <c r="A41" i="2"/>
  <c r="A40" i="2"/>
  <c r="A39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A13" i="2"/>
  <c r="A12" i="2"/>
  <c r="A11" i="2"/>
  <c r="A10" i="2"/>
  <c r="A9" i="2"/>
  <c r="A8" i="2"/>
  <c r="A7" i="2"/>
  <c r="A6" i="2"/>
  <c r="A5" i="2"/>
  <c r="A4" i="2"/>
  <c r="A3" i="2"/>
  <c r="A2" i="2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A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1" authorId="0" shapeId="0" xr:uid="{00000000-0006-0000-0100-000001000000}">
      <text>
        <r>
          <rPr>
            <sz val="10"/>
            <rFont val="Arial"/>
            <family val="2"/>
            <charset val="1"/>
          </rPr>
          <t xml:space="preserve">Fuente: </t>
        </r>
        <r>
          <rPr>
            <u/>
            <sz val="10"/>
            <color rgb="FF0000FF"/>
            <rFont val="Calibri"/>
            <family val="2"/>
            <charset val="1"/>
          </rPr>
          <t>http://www.iso.org/iso/home/standards/currency_codes.htm</t>
        </r>
      </text>
    </comment>
  </commentList>
</comments>
</file>

<file path=xl/sharedStrings.xml><?xml version="1.0" encoding="utf-8"?>
<sst xmlns="http://schemas.openxmlformats.org/spreadsheetml/2006/main" count="7493" uniqueCount="5996">
  <si>
    <t>id</t>
  </si>
  <si>
    <t>code</t>
  </si>
  <si>
    <t>name</t>
  </si>
  <si>
    <t>description</t>
  </si>
  <si>
    <t>01</t>
  </si>
  <si>
    <t>Factura</t>
  </si>
  <si>
    <t>03</t>
  </si>
  <si>
    <t>Boleta de venta</t>
  </si>
  <si>
    <t>06</t>
  </si>
  <si>
    <t>Carta de porte aéreo</t>
  </si>
  <si>
    <t>07</t>
  </si>
  <si>
    <t>Nota de crédito</t>
  </si>
  <si>
    <t>08</t>
  </si>
  <si>
    <t>Nota de débito</t>
  </si>
  <si>
    <t>09</t>
  </si>
  <si>
    <t>Guía de remisión remitente</t>
  </si>
  <si>
    <t>12</t>
  </si>
  <si>
    <t>Ticket de máquina registradora</t>
  </si>
  <si>
    <t>13</t>
  </si>
  <si>
    <t>Documento emitido por bancos, instituciones financieras, crediticias y de seguros</t>
  </si>
  <si>
    <t>Documento emitido por bancos, instituciones financieras, crediticias y de seguros que se encuentren bajo el control de la Superintendencia de Banca y Seguros</t>
  </si>
  <si>
    <t>Recibo servicios públicos</t>
  </si>
  <si>
    <t>Boletos emitidos por transporte terrestre y el ferroviario prestado en vía férrea local</t>
  </si>
  <si>
    <t>Boletos emitidos por el servicio de transporte terrestre regular urbano de pasajeros y el ferroviario público de pasajeros prestado en vía férrea local</t>
  </si>
  <si>
    <t>Boleto de viaje emitido por las empresas de transporte público interprovincial de pasajeros</t>
  </si>
  <si>
    <t>18</t>
  </si>
  <si>
    <t>Documentos emitidos por las AFP</t>
  </si>
  <si>
    <t>20</t>
  </si>
  <si>
    <t>Comprobante de retención</t>
  </si>
  <si>
    <t>Conocimiento de embarque por el servicio de transporte de carga marítima</t>
  </si>
  <si>
    <t>Certificado de pago de regalías emitidas por PERUPETRO S.A.</t>
  </si>
  <si>
    <t>31</t>
  </si>
  <si>
    <t>Guía de remisión transportista</t>
  </si>
  <si>
    <t>Documentos que emitan los concesionarios del servicio de revisiones técnicas</t>
  </si>
  <si>
    <t>40</t>
  </si>
  <si>
    <t xml:space="preserve">Comprobante de Percepción </t>
  </si>
  <si>
    <t>41</t>
  </si>
  <si>
    <t>Comprobante de Percepción – Venta interna ( físico - formato impreso)</t>
  </si>
  <si>
    <t>Boleto de compañías de aviación transporte aéreo no regular</t>
  </si>
  <si>
    <t>Documentos emitidos por centros educativos y culturales, universidades, asociaciones y fundaciones</t>
  </si>
  <si>
    <t>56</t>
  </si>
  <si>
    <t>Comprobante de pago SEAE</t>
  </si>
  <si>
    <t>71</t>
  </si>
  <si>
    <t>Guía de remisión remitente complementaria</t>
  </si>
  <si>
    <t>72</t>
  </si>
  <si>
    <t>Guía de remisión transportista complementaria</t>
  </si>
  <si>
    <t>country_name</t>
  </si>
  <si>
    <t>number_code</t>
  </si>
  <si>
    <t>AFN</t>
  </si>
  <si>
    <t>Afghani</t>
  </si>
  <si>
    <t>AFGHANISTAN</t>
  </si>
  <si>
    <t>971</t>
  </si>
  <si>
    <t>EUR</t>
  </si>
  <si>
    <t>Euro</t>
  </si>
  <si>
    <t>ÅLAND ISLANDS</t>
  </si>
  <si>
    <t>978</t>
  </si>
  <si>
    <t>ALL</t>
  </si>
  <si>
    <t>Lek</t>
  </si>
  <si>
    <t>ALBANIA</t>
  </si>
  <si>
    <t>008</t>
  </si>
  <si>
    <t>DZD</t>
  </si>
  <si>
    <t>Algerian Dinar</t>
  </si>
  <si>
    <t>ALGERIA</t>
  </si>
  <si>
    <t>012</t>
  </si>
  <si>
    <t>USD</t>
  </si>
  <si>
    <t>US Dollar</t>
  </si>
  <si>
    <t>AMERICAN SAMOA</t>
  </si>
  <si>
    <t>840</t>
  </si>
  <si>
    <t>ANDORRA</t>
  </si>
  <si>
    <t>AOA</t>
  </si>
  <si>
    <t>Kwanza</t>
  </si>
  <si>
    <t>ANGOLA</t>
  </si>
  <si>
    <t>973</t>
  </si>
  <si>
    <t>XCD</t>
  </si>
  <si>
    <t>East Caribbean Dollar</t>
  </si>
  <si>
    <t>ANGUILLA</t>
  </si>
  <si>
    <t>951</t>
  </si>
  <si>
    <t>ANTIGUA AND BARBUDA</t>
  </si>
  <si>
    <t>ARS</t>
  </si>
  <si>
    <t>Argentine Peso</t>
  </si>
  <si>
    <t>ARGENTINA</t>
  </si>
  <si>
    <t>032</t>
  </si>
  <si>
    <t>AMD</t>
  </si>
  <si>
    <t>Armenian Dram</t>
  </si>
  <si>
    <t>ARMENIA</t>
  </si>
  <si>
    <t>051</t>
  </si>
  <si>
    <t>AWG</t>
  </si>
  <si>
    <t>Aruban Florin</t>
  </si>
  <si>
    <t>ARUBA</t>
  </si>
  <si>
    <t>533</t>
  </si>
  <si>
    <t>AUD</t>
  </si>
  <si>
    <t>Australian Dollar</t>
  </si>
  <si>
    <t>AUSTRALIA</t>
  </si>
  <si>
    <t>036</t>
  </si>
  <si>
    <t>AUSTRIA</t>
  </si>
  <si>
    <t>AZN</t>
  </si>
  <si>
    <t>Azerbaijan Manat</t>
  </si>
  <si>
    <t>AZERBAIJAN</t>
  </si>
  <si>
    <t>944</t>
  </si>
  <si>
    <t>BSD</t>
  </si>
  <si>
    <t>Bahamian Dollar</t>
  </si>
  <si>
    <t>BAHAMAS (THE)</t>
  </si>
  <si>
    <t>044</t>
  </si>
  <si>
    <t>BHD</t>
  </si>
  <si>
    <t>Bahraini Dinar</t>
  </si>
  <si>
    <t>BAHRAIN</t>
  </si>
  <si>
    <t>048</t>
  </si>
  <si>
    <t>BDT</t>
  </si>
  <si>
    <t>Taka</t>
  </si>
  <si>
    <t>BANGLADESH</t>
  </si>
  <si>
    <t>050</t>
  </si>
  <si>
    <t>BBD</t>
  </si>
  <si>
    <t>Barbados Dollar</t>
  </si>
  <si>
    <t>BARBADOS</t>
  </si>
  <si>
    <t>052</t>
  </si>
  <si>
    <t>BYN</t>
  </si>
  <si>
    <t>Belarusian Ruble</t>
  </si>
  <si>
    <t>BELARUS</t>
  </si>
  <si>
    <t>933</t>
  </si>
  <si>
    <t>BELGIUM</t>
  </si>
  <si>
    <t>BZD</t>
  </si>
  <si>
    <t>Belize Dollar</t>
  </si>
  <si>
    <t>BELIZE</t>
  </si>
  <si>
    <t>084</t>
  </si>
  <si>
    <t>XOF</t>
  </si>
  <si>
    <t>CFA Franc BCEAO</t>
  </si>
  <si>
    <t>BENIN</t>
  </si>
  <si>
    <t>952</t>
  </si>
  <si>
    <t>BMD</t>
  </si>
  <si>
    <t>Bermudian Dollar</t>
  </si>
  <si>
    <t>BERMUDA</t>
  </si>
  <si>
    <t>060</t>
  </si>
  <si>
    <t>INR</t>
  </si>
  <si>
    <t>Indian Rupee</t>
  </si>
  <si>
    <t>BHUTAN</t>
  </si>
  <si>
    <t>356</t>
  </si>
  <si>
    <t>BTN</t>
  </si>
  <si>
    <t>Ngultrum</t>
  </si>
  <si>
    <t>064</t>
  </si>
  <si>
    <t>BOB</t>
  </si>
  <si>
    <t>Boliviano</t>
  </si>
  <si>
    <t>BOLIVIA (PLURINATIONAL STATE OF)</t>
  </si>
  <si>
    <t>068</t>
  </si>
  <si>
    <t>BOV</t>
  </si>
  <si>
    <t>Mvdol</t>
  </si>
  <si>
    <t>984</t>
  </si>
  <si>
    <t>BONAIRE, SINT EUSTATIUS AND SABA</t>
  </si>
  <si>
    <t>BAM</t>
  </si>
  <si>
    <t>Convertible Mark</t>
  </si>
  <si>
    <t>BOSNIA AND HERZEGOVINA</t>
  </si>
  <si>
    <t>977</t>
  </si>
  <si>
    <t>BWP</t>
  </si>
  <si>
    <t>Pula</t>
  </si>
  <si>
    <t>BOTSWANA</t>
  </si>
  <si>
    <t>072</t>
  </si>
  <si>
    <t>NOK</t>
  </si>
  <si>
    <t>Norwegian Krone</t>
  </si>
  <si>
    <t>BOUVET ISLAND</t>
  </si>
  <si>
    <t>578</t>
  </si>
  <si>
    <t>BRL</t>
  </si>
  <si>
    <t>Brazilian Real</t>
  </si>
  <si>
    <t>BRAZIL</t>
  </si>
  <si>
    <t>986</t>
  </si>
  <si>
    <t>BRITISH INDIAN OCEAN TERRITORY (THE)</t>
  </si>
  <si>
    <t>BND</t>
  </si>
  <si>
    <t>Brunei Dollar</t>
  </si>
  <si>
    <t>BRUNEI DARUSSALAM</t>
  </si>
  <si>
    <t>096</t>
  </si>
  <si>
    <t>BGN</t>
  </si>
  <si>
    <t>Bulgarian Lev</t>
  </si>
  <si>
    <t>BULGARIA</t>
  </si>
  <si>
    <t>975</t>
  </si>
  <si>
    <t>BURKINA FASO</t>
  </si>
  <si>
    <t>BIF</t>
  </si>
  <si>
    <t>Burundi Franc</t>
  </si>
  <si>
    <t>BURUNDI</t>
  </si>
  <si>
    <t>108</t>
  </si>
  <si>
    <t>CVE</t>
  </si>
  <si>
    <t>Cabo Verde Escudo</t>
  </si>
  <si>
    <t>CABO VERDE</t>
  </si>
  <si>
    <t>132</t>
  </si>
  <si>
    <t>KHR</t>
  </si>
  <si>
    <t>Riel</t>
  </si>
  <si>
    <t>CAMBODIA</t>
  </si>
  <si>
    <t>116</t>
  </si>
  <si>
    <t>XAF</t>
  </si>
  <si>
    <t>CFA Franc BEAC</t>
  </si>
  <si>
    <t>CAMEROON</t>
  </si>
  <si>
    <t>950</t>
  </si>
  <si>
    <t>CAD</t>
  </si>
  <si>
    <t>Canadian Dollar</t>
  </si>
  <si>
    <t>CANADA</t>
  </si>
  <si>
    <t>124</t>
  </si>
  <si>
    <t>KYD</t>
  </si>
  <si>
    <t>Cayman Islands Dollar</t>
  </si>
  <si>
    <t>CAYMAN ISLANDS (THE)</t>
  </si>
  <si>
    <t>136</t>
  </si>
  <si>
    <t>CENTRAL AFRICAN REPUBLIC (THE)</t>
  </si>
  <si>
    <t>CHAD</t>
  </si>
  <si>
    <t>CLP</t>
  </si>
  <si>
    <t>Chilean Peso</t>
  </si>
  <si>
    <t>CHILE</t>
  </si>
  <si>
    <t>152</t>
  </si>
  <si>
    <t>CLF</t>
  </si>
  <si>
    <t>Unidad de Fomento</t>
  </si>
  <si>
    <t>990</t>
  </si>
  <si>
    <t>CNY</t>
  </si>
  <si>
    <t>Yuan Renminbi</t>
  </si>
  <si>
    <t>CHINA</t>
  </si>
  <si>
    <t>156</t>
  </si>
  <si>
    <t>CHRISTMAS ISLAND</t>
  </si>
  <si>
    <t>COCOS (KEELING) ISLANDS (THE)</t>
  </si>
  <si>
    <t>COP</t>
  </si>
  <si>
    <t>Colombian Peso</t>
  </si>
  <si>
    <t>COLOMBIA</t>
  </si>
  <si>
    <t>170</t>
  </si>
  <si>
    <t>COU</t>
  </si>
  <si>
    <t>Unidad de Valor Real</t>
  </si>
  <si>
    <t>970</t>
  </si>
  <si>
    <t>KMF</t>
  </si>
  <si>
    <t xml:space="preserve">Comorian Franc </t>
  </si>
  <si>
    <t>COMOROS (THE)</t>
  </si>
  <si>
    <t>174</t>
  </si>
  <si>
    <t>CDF</t>
  </si>
  <si>
    <t>Congolese Franc</t>
  </si>
  <si>
    <t>CONGO (THE DEMOCRATIC REPUBLIC OF THE)</t>
  </si>
  <si>
    <t>976</t>
  </si>
  <si>
    <t>CONGO (THE)</t>
  </si>
  <si>
    <t>NZD</t>
  </si>
  <si>
    <t>New Zealand Dollar</t>
  </si>
  <si>
    <t>COOK ISLANDS (THE)</t>
  </si>
  <si>
    <t>554</t>
  </si>
  <si>
    <t>CRC</t>
  </si>
  <si>
    <t>Costa Rican Colon</t>
  </si>
  <si>
    <t>COSTA RICA</t>
  </si>
  <si>
    <t>188</t>
  </si>
  <si>
    <t>CÔTE D'IVOIRE</t>
  </si>
  <si>
    <t>HRK</t>
  </si>
  <si>
    <t>Kuna</t>
  </si>
  <si>
    <t>CROATIA</t>
  </si>
  <si>
    <t>191</t>
  </si>
  <si>
    <t>CUP</t>
  </si>
  <si>
    <t>Cuban Peso</t>
  </si>
  <si>
    <t>CUBA</t>
  </si>
  <si>
    <t>192</t>
  </si>
  <si>
    <t>CUC</t>
  </si>
  <si>
    <t>Peso Convertible</t>
  </si>
  <si>
    <t>931</t>
  </si>
  <si>
    <t>ANG</t>
  </si>
  <si>
    <t>Netherlands Antillean Guilder</t>
  </si>
  <si>
    <t>CURAÇAO</t>
  </si>
  <si>
    <t>532</t>
  </si>
  <si>
    <t>CYPRUS</t>
  </si>
  <si>
    <t>CZK</t>
  </si>
  <si>
    <t>Czech Koruna</t>
  </si>
  <si>
    <t>CZECHIA</t>
  </si>
  <si>
    <t>203</t>
  </si>
  <si>
    <t>DKK</t>
  </si>
  <si>
    <t>Danish Krone</t>
  </si>
  <si>
    <t>DENMARK</t>
  </si>
  <si>
    <t>208</t>
  </si>
  <si>
    <t>DJF</t>
  </si>
  <si>
    <t>Djibouti Franc</t>
  </si>
  <si>
    <t>DJIBOUTI</t>
  </si>
  <si>
    <t>262</t>
  </si>
  <si>
    <t>DOMINICA</t>
  </si>
  <si>
    <t>DOP</t>
  </si>
  <si>
    <t>Dominican Peso</t>
  </si>
  <si>
    <t>DOMINICAN REPUBLIC (THE)</t>
  </si>
  <si>
    <t>214</t>
  </si>
  <si>
    <t>ECUADOR</t>
  </si>
  <si>
    <t>EGP</t>
  </si>
  <si>
    <t>Egyptian Pound</t>
  </si>
  <si>
    <t>EGYPT</t>
  </si>
  <si>
    <t>818</t>
  </si>
  <si>
    <t>SVC</t>
  </si>
  <si>
    <t>El Salvador Colon</t>
  </si>
  <si>
    <t>EL SALVADOR</t>
  </si>
  <si>
    <t>222</t>
  </si>
  <si>
    <t>EQUATORIAL GUINEA</t>
  </si>
  <si>
    <t>ERN</t>
  </si>
  <si>
    <t>Nakfa</t>
  </si>
  <si>
    <t>ERITREA</t>
  </si>
  <si>
    <t>232</t>
  </si>
  <si>
    <t>ESTONIA</t>
  </si>
  <si>
    <t>ETB</t>
  </si>
  <si>
    <t>Ethiopian Birr</t>
  </si>
  <si>
    <t>ETHIOPIA</t>
  </si>
  <si>
    <t>230</t>
  </si>
  <si>
    <t>EUROPEAN UNION</t>
  </si>
  <si>
    <t>FKP</t>
  </si>
  <si>
    <t>Falkland Islands Pound</t>
  </si>
  <si>
    <t>FALKLAND ISLANDS (THE) [MALVINAS]</t>
  </si>
  <si>
    <t>238</t>
  </si>
  <si>
    <t>FAROE ISLANDS (THE)</t>
  </si>
  <si>
    <t>FJD</t>
  </si>
  <si>
    <t>Fiji Dollar</t>
  </si>
  <si>
    <t>FIJI</t>
  </si>
  <si>
    <t>242</t>
  </si>
  <si>
    <t>FINLAND</t>
  </si>
  <si>
    <t>FRANCE</t>
  </si>
  <si>
    <t>FRENCH GUIANA</t>
  </si>
  <si>
    <t>XPF</t>
  </si>
  <si>
    <t>CFP Franc</t>
  </si>
  <si>
    <t>FRENCH POLYNESIA</t>
  </si>
  <si>
    <t>953</t>
  </si>
  <si>
    <t>FRENCH SOUTHERN TERRITORIES (THE)</t>
  </si>
  <si>
    <t>GABON</t>
  </si>
  <si>
    <t>GMD</t>
  </si>
  <si>
    <t>Dalasi</t>
  </si>
  <si>
    <t>GAMBIA (THE)</t>
  </si>
  <si>
    <t>270</t>
  </si>
  <si>
    <t>GEL</t>
  </si>
  <si>
    <t>Lari</t>
  </si>
  <si>
    <t>GEORGIA</t>
  </si>
  <si>
    <t>981</t>
  </si>
  <si>
    <t>GERMANY</t>
  </si>
  <si>
    <t>GHS</t>
  </si>
  <si>
    <t>Ghana Cedi</t>
  </si>
  <si>
    <t>GHANA</t>
  </si>
  <si>
    <t>936</t>
  </si>
  <si>
    <t>GIP</t>
  </si>
  <si>
    <t>Gibraltar Pound</t>
  </si>
  <si>
    <t>GIBRALTAR</t>
  </si>
  <si>
    <t>292</t>
  </si>
  <si>
    <t>GREECE</t>
  </si>
  <si>
    <t>GREENLAND</t>
  </si>
  <si>
    <t>GRENADA</t>
  </si>
  <si>
    <t>GUADELOUPE</t>
  </si>
  <si>
    <t>GUAM</t>
  </si>
  <si>
    <t>GTQ</t>
  </si>
  <si>
    <t>Quetzal</t>
  </si>
  <si>
    <t>GUATEMALA</t>
  </si>
  <si>
    <t>320</t>
  </si>
  <si>
    <t>GBP</t>
  </si>
  <si>
    <t>Pound Sterling</t>
  </si>
  <si>
    <t>GUERNSEY</t>
  </si>
  <si>
    <t>826</t>
  </si>
  <si>
    <t>GNF</t>
  </si>
  <si>
    <t>Guinean Franc</t>
  </si>
  <si>
    <t>GUINEA</t>
  </si>
  <si>
    <t>324</t>
  </si>
  <si>
    <t>GUINEA-BISSAU</t>
  </si>
  <si>
    <t>GYD</t>
  </si>
  <si>
    <t>Guyana Dollar</t>
  </si>
  <si>
    <t>GUYANA</t>
  </si>
  <si>
    <t>328</t>
  </si>
  <si>
    <t>HTG</t>
  </si>
  <si>
    <t>Gourde</t>
  </si>
  <si>
    <t>HAITI</t>
  </si>
  <si>
    <t>332</t>
  </si>
  <si>
    <t>HEARD ISLAND AND McDONALD ISLANDS</t>
  </si>
  <si>
    <t>HOLY SEE (THE)</t>
  </si>
  <si>
    <t>HNL</t>
  </si>
  <si>
    <t>Lempira</t>
  </si>
  <si>
    <t>HONDURAS</t>
  </si>
  <si>
    <t>340</t>
  </si>
  <si>
    <t>HKD</t>
  </si>
  <si>
    <t>Hong Kong Dollar</t>
  </si>
  <si>
    <t>HONG KONG</t>
  </si>
  <si>
    <t>344</t>
  </si>
  <si>
    <t>HUF</t>
  </si>
  <si>
    <t>Forint</t>
  </si>
  <si>
    <t>HUNGARY</t>
  </si>
  <si>
    <t>348</t>
  </si>
  <si>
    <t>ISK</t>
  </si>
  <si>
    <t>Iceland Krona</t>
  </si>
  <si>
    <t>ICELAND</t>
  </si>
  <si>
    <t>352</t>
  </si>
  <si>
    <t>INDIA</t>
  </si>
  <si>
    <t>IDR</t>
  </si>
  <si>
    <t>Rupiah</t>
  </si>
  <si>
    <t>INDONESIA</t>
  </si>
  <si>
    <t>360</t>
  </si>
  <si>
    <t>XDR</t>
  </si>
  <si>
    <t>SDR (Special Drawing Right)</t>
  </si>
  <si>
    <t>INTERNATIONAL MONETARY FUND (IMF) </t>
  </si>
  <si>
    <t>960</t>
  </si>
  <si>
    <t>IRR</t>
  </si>
  <si>
    <t>Iranian Rial</t>
  </si>
  <si>
    <t>IRAN (ISLAMIC REPUBLIC OF)</t>
  </si>
  <si>
    <t>364</t>
  </si>
  <si>
    <t>IQD</t>
  </si>
  <si>
    <t>Iraqi Dinar</t>
  </si>
  <si>
    <t>IRAQ</t>
  </si>
  <si>
    <t>368</t>
  </si>
  <si>
    <t>IRELAND</t>
  </si>
  <si>
    <t>ISLE OF MAN</t>
  </si>
  <si>
    <t>ILS</t>
  </si>
  <si>
    <t>New Israeli Sheqel</t>
  </si>
  <si>
    <t>ISRAEL</t>
  </si>
  <si>
    <t>376</t>
  </si>
  <si>
    <t>ITALY</t>
  </si>
  <si>
    <t>JMD</t>
  </si>
  <si>
    <t>Jamaican Dollar</t>
  </si>
  <si>
    <t>JAMAICA</t>
  </si>
  <si>
    <t>388</t>
  </si>
  <si>
    <t>JPY</t>
  </si>
  <si>
    <t>Yen</t>
  </si>
  <si>
    <t>JAPAN</t>
  </si>
  <si>
    <t>392</t>
  </si>
  <si>
    <t>JERSEY</t>
  </si>
  <si>
    <t>JOD</t>
  </si>
  <si>
    <t>Jordanian Dinar</t>
  </si>
  <si>
    <t>JORDAN</t>
  </si>
  <si>
    <t>400</t>
  </si>
  <si>
    <t>KZT</t>
  </si>
  <si>
    <t>Tenge</t>
  </si>
  <si>
    <t>KAZAKHSTAN</t>
  </si>
  <si>
    <t>398</t>
  </si>
  <si>
    <t>KES</t>
  </si>
  <si>
    <t>Kenyan Shilling</t>
  </si>
  <si>
    <t>KENYA</t>
  </si>
  <si>
    <t>404</t>
  </si>
  <si>
    <t>KIRIBATI</t>
  </si>
  <si>
    <t>KPW</t>
  </si>
  <si>
    <t>North Korean Won</t>
  </si>
  <si>
    <t>KOREA (THE DEMOCRATIC PEOPLE’S REPUBLIC OF)</t>
  </si>
  <si>
    <t>408</t>
  </si>
  <si>
    <t>KRW</t>
  </si>
  <si>
    <t>Won</t>
  </si>
  <si>
    <t>KOREA (THE REPUBLIC OF)</t>
  </si>
  <si>
    <t>410</t>
  </si>
  <si>
    <t>KWD</t>
  </si>
  <si>
    <t>Kuwaiti Dinar</t>
  </si>
  <si>
    <t>KUWAIT</t>
  </si>
  <si>
    <t>414</t>
  </si>
  <si>
    <t>KGS</t>
  </si>
  <si>
    <t>Som</t>
  </si>
  <si>
    <t>KYRGYZSTAN</t>
  </si>
  <si>
    <t>417</t>
  </si>
  <si>
    <t>LAK</t>
  </si>
  <si>
    <t>Lao Kip</t>
  </si>
  <si>
    <t>LAO PEOPLE’S DEMOCRATIC REPUBLIC (THE)</t>
  </si>
  <si>
    <t>418</t>
  </si>
  <si>
    <t>LATVIA</t>
  </si>
  <si>
    <t>LBP</t>
  </si>
  <si>
    <t>Lebanese Pound</t>
  </si>
  <si>
    <t>LEBANON</t>
  </si>
  <si>
    <t>422</t>
  </si>
  <si>
    <t>LSL</t>
  </si>
  <si>
    <t>Loti</t>
  </si>
  <si>
    <t>LESOTHO</t>
  </si>
  <si>
    <t>426</t>
  </si>
  <si>
    <t>ZAR</t>
  </si>
  <si>
    <t>Rand</t>
  </si>
  <si>
    <t>710</t>
  </si>
  <si>
    <t>LRD</t>
  </si>
  <si>
    <t>Liberian Dollar</t>
  </si>
  <si>
    <t>LIBERIA</t>
  </si>
  <si>
    <t>430</t>
  </si>
  <si>
    <t>LYD</t>
  </si>
  <si>
    <t>Libyan Dinar</t>
  </si>
  <si>
    <t>LIBYA</t>
  </si>
  <si>
    <t>434</t>
  </si>
  <si>
    <t>CHF</t>
  </si>
  <si>
    <t>Swiss Franc</t>
  </si>
  <si>
    <t>LIECHTENSTEIN</t>
  </si>
  <si>
    <t>756</t>
  </si>
  <si>
    <t>LITHUANIA</t>
  </si>
  <si>
    <t>LUXEMBOURG</t>
  </si>
  <si>
    <t>MOP</t>
  </si>
  <si>
    <t>Pataca</t>
  </si>
  <si>
    <t>MACAO</t>
  </si>
  <si>
    <t>446</t>
  </si>
  <si>
    <t>MKD</t>
  </si>
  <si>
    <t>Denar</t>
  </si>
  <si>
    <t>MACEDONIA (THE FORMER YUGOSLAV REPUBLIC OF)</t>
  </si>
  <si>
    <t>807</t>
  </si>
  <si>
    <t>MGA</t>
  </si>
  <si>
    <t>Malagasy Ariary</t>
  </si>
  <si>
    <t>MADAGASCAR</t>
  </si>
  <si>
    <t>969</t>
  </si>
  <si>
    <t>MWK</t>
  </si>
  <si>
    <t>Malawi Kwacha</t>
  </si>
  <si>
    <t>MALAWI</t>
  </si>
  <si>
    <t>454</t>
  </si>
  <si>
    <t>MYR</t>
  </si>
  <si>
    <t>Malaysian Ringgit</t>
  </si>
  <si>
    <t>MALAYSIA</t>
  </si>
  <si>
    <t>458</t>
  </si>
  <si>
    <t>MVR</t>
  </si>
  <si>
    <t>Rufiyaa</t>
  </si>
  <si>
    <t>MALDIVES</t>
  </si>
  <si>
    <t>462</t>
  </si>
  <si>
    <t>MALI</t>
  </si>
  <si>
    <t>MALTA</t>
  </si>
  <si>
    <t>MARSHALL ISLANDS (THE)</t>
  </si>
  <si>
    <t>MARTINIQUE</t>
  </si>
  <si>
    <t>MRU</t>
  </si>
  <si>
    <t>Ouguiya</t>
  </si>
  <si>
    <t>MAURITANIA</t>
  </si>
  <si>
    <t>929</t>
  </si>
  <si>
    <t>MUR</t>
  </si>
  <si>
    <t>Mauritius Rupee</t>
  </si>
  <si>
    <t>MAURITIUS</t>
  </si>
  <si>
    <t>480</t>
  </si>
  <si>
    <t>MAYOTTE</t>
  </si>
  <si>
    <t>XUA</t>
  </si>
  <si>
    <t>ADB Unit of Account</t>
  </si>
  <si>
    <t>MEMBER COUNTRIES OF THE AFRICAN DEVELOPMENT BANK GROUP</t>
  </si>
  <si>
    <t>965</t>
  </si>
  <si>
    <t>MXN</t>
  </si>
  <si>
    <t>Mexican Peso</t>
  </si>
  <si>
    <t>MEXICO</t>
  </si>
  <si>
    <t>484</t>
  </si>
  <si>
    <t>MXV</t>
  </si>
  <si>
    <t>Mexican Unidad de Inversion (UDI)</t>
  </si>
  <si>
    <t>979</t>
  </si>
  <si>
    <t>MICRONESIA (FEDERATED STATES OF)</t>
  </si>
  <si>
    <t>MDL</t>
  </si>
  <si>
    <t>Moldovan Leu</t>
  </si>
  <si>
    <t>MOLDOVA (THE REPUBLIC OF)</t>
  </si>
  <si>
    <t>498</t>
  </si>
  <si>
    <t>MONACO</t>
  </si>
  <si>
    <t>MNT</t>
  </si>
  <si>
    <t>Tugrik</t>
  </si>
  <si>
    <t>MONGOLIA</t>
  </si>
  <si>
    <t>496</t>
  </si>
  <si>
    <t>MONTENEGRO</t>
  </si>
  <si>
    <t>MONTSERRAT</t>
  </si>
  <si>
    <t>MAD</t>
  </si>
  <si>
    <t>Moroccan Dirham</t>
  </si>
  <si>
    <t>MOROCCO</t>
  </si>
  <si>
    <t>504</t>
  </si>
  <si>
    <t>MZN</t>
  </si>
  <si>
    <t>Mozambique Metical</t>
  </si>
  <si>
    <t>MOZAMBIQUE</t>
  </si>
  <si>
    <t>943</t>
  </si>
  <si>
    <t>MMK</t>
  </si>
  <si>
    <t>Kyat</t>
  </si>
  <si>
    <t>MYANMAR</t>
  </si>
  <si>
    <t>104</t>
  </si>
  <si>
    <t>NAD</t>
  </si>
  <si>
    <t>Namibia Dollar</t>
  </si>
  <si>
    <t>NAMIBIA</t>
  </si>
  <si>
    <t>516</t>
  </si>
  <si>
    <t>NAURU</t>
  </si>
  <si>
    <t>NPR</t>
  </si>
  <si>
    <t>Nepalese Rupee</t>
  </si>
  <si>
    <t>NEPAL</t>
  </si>
  <si>
    <t>524</t>
  </si>
  <si>
    <t>NETHERLANDS (THE)</t>
  </si>
  <si>
    <t>NEW CALEDONIA</t>
  </si>
  <si>
    <t>NEW ZEALAND</t>
  </si>
  <si>
    <t>NIO</t>
  </si>
  <si>
    <t>Cordoba Oro</t>
  </si>
  <si>
    <t>NICARAGUA</t>
  </si>
  <si>
    <t>558</t>
  </si>
  <si>
    <t>NIGER (THE)</t>
  </si>
  <si>
    <t>NGN</t>
  </si>
  <si>
    <t>Naira</t>
  </si>
  <si>
    <t>NIGERIA</t>
  </si>
  <si>
    <t>566</t>
  </si>
  <si>
    <t>NIUE</t>
  </si>
  <si>
    <t>NORFOLK ISLAND</t>
  </si>
  <si>
    <t>NORTHERN MARIANA ISLANDS (THE)</t>
  </si>
  <si>
    <t>NORWAY</t>
  </si>
  <si>
    <t>OMR</t>
  </si>
  <si>
    <t>Rial Omani</t>
  </si>
  <si>
    <t>OMAN</t>
  </si>
  <si>
    <t>512</t>
  </si>
  <si>
    <t>PKR</t>
  </si>
  <si>
    <t>Pakistan Rupee</t>
  </si>
  <si>
    <t>PAKISTAN</t>
  </si>
  <si>
    <t>586</t>
  </si>
  <si>
    <t>PALAU</t>
  </si>
  <si>
    <t>PAB</t>
  </si>
  <si>
    <t>Balboa</t>
  </si>
  <si>
    <t>PANAMA</t>
  </si>
  <si>
    <t>590</t>
  </si>
  <si>
    <t>PGK</t>
  </si>
  <si>
    <t>Kina</t>
  </si>
  <si>
    <t>PAPUA NEW GUINEA</t>
  </si>
  <si>
    <t>598</t>
  </si>
  <si>
    <t>PYG</t>
  </si>
  <si>
    <t>Guarani</t>
  </si>
  <si>
    <t>PARAGUAY</t>
  </si>
  <si>
    <t>600</t>
  </si>
  <si>
    <t>PEN</t>
  </si>
  <si>
    <t>Sol</t>
  </si>
  <si>
    <t>PERU</t>
  </si>
  <si>
    <t>604</t>
  </si>
  <si>
    <t>PHP</t>
  </si>
  <si>
    <t>Philippine Peso</t>
  </si>
  <si>
    <t>PHILIPPINES (THE)</t>
  </si>
  <si>
    <t>608</t>
  </si>
  <si>
    <t>PITCAIRN</t>
  </si>
  <si>
    <t>PLN</t>
  </si>
  <si>
    <t>Zloty</t>
  </si>
  <si>
    <t>POLAND</t>
  </si>
  <si>
    <t>985</t>
  </si>
  <si>
    <t>PORTUGAL</t>
  </si>
  <si>
    <t>PUERTO RICO</t>
  </si>
  <si>
    <t>QAR</t>
  </si>
  <si>
    <t>Qatari Rial</t>
  </si>
  <si>
    <t>QATAR</t>
  </si>
  <si>
    <t>634</t>
  </si>
  <si>
    <t>RÉUNION</t>
  </si>
  <si>
    <t>RON</t>
  </si>
  <si>
    <t>Romanian Leu</t>
  </si>
  <si>
    <t>ROMANIA</t>
  </si>
  <si>
    <t>946</t>
  </si>
  <si>
    <t>RUB</t>
  </si>
  <si>
    <t>Russian Ruble</t>
  </si>
  <si>
    <t>RUSSIAN FEDERATION (THE)</t>
  </si>
  <si>
    <t>643</t>
  </si>
  <si>
    <t>RWF</t>
  </si>
  <si>
    <t>Rwanda Franc</t>
  </si>
  <si>
    <t>RWANDA</t>
  </si>
  <si>
    <t>646</t>
  </si>
  <si>
    <t>SAINT BARTHÉLEMY</t>
  </si>
  <si>
    <t>SHP</t>
  </si>
  <si>
    <t>Saint Helena Pound</t>
  </si>
  <si>
    <t>SAINT HELENA, ASCENSION AND TRISTAN DA CUNHA</t>
  </si>
  <si>
    <t>654</t>
  </si>
  <si>
    <t>SAINT KITTS AND NEVIS</t>
  </si>
  <si>
    <t>SAINT LUCIA</t>
  </si>
  <si>
    <t>SAINT MARTIN (FRENCH PART)</t>
  </si>
  <si>
    <t>SAINT PIERRE AND MIQUELON</t>
  </si>
  <si>
    <t>SAINT VINCENT AND THE GRENADINES</t>
  </si>
  <si>
    <t>WST</t>
  </si>
  <si>
    <t>Tala</t>
  </si>
  <si>
    <t>SAMOA</t>
  </si>
  <si>
    <t>882</t>
  </si>
  <si>
    <t>SAN MARINO</t>
  </si>
  <si>
    <t>STN</t>
  </si>
  <si>
    <t>Dobra</t>
  </si>
  <si>
    <t>SAO TOME AND PRINCIPE</t>
  </si>
  <si>
    <t>930</t>
  </si>
  <si>
    <t>SAR</t>
  </si>
  <si>
    <t>Saudi Riyal</t>
  </si>
  <si>
    <t>SAUDI ARABIA</t>
  </si>
  <si>
    <t>682</t>
  </si>
  <si>
    <t>SENEGAL</t>
  </si>
  <si>
    <t>RSD</t>
  </si>
  <si>
    <t>Serbian Dinar</t>
  </si>
  <si>
    <t>SERBIA</t>
  </si>
  <si>
    <t>941</t>
  </si>
  <si>
    <t>SCR</t>
  </si>
  <si>
    <t>Seychelles Rupee</t>
  </si>
  <si>
    <t>SEYCHELLES</t>
  </si>
  <si>
    <t>690</t>
  </si>
  <si>
    <t>SLL</t>
  </si>
  <si>
    <t>Leone</t>
  </si>
  <si>
    <t>SIERRA LEONE</t>
  </si>
  <si>
    <t>694</t>
  </si>
  <si>
    <t>SGD</t>
  </si>
  <si>
    <t>Singapore Dollar</t>
  </si>
  <si>
    <t>SINGAPORE</t>
  </si>
  <si>
    <t>702</t>
  </si>
  <si>
    <t>SINT MAARTEN (DUTCH PART)</t>
  </si>
  <si>
    <t>XSU</t>
  </si>
  <si>
    <t>Sucre</t>
  </si>
  <si>
    <t>SISTEMA UNITARIO DE COMPENSACION REGIONAL DE PAGOS "SUCRE"</t>
  </si>
  <si>
    <t>994</t>
  </si>
  <si>
    <t>SLOVAKIA</t>
  </si>
  <si>
    <t>SLOVENIA</t>
  </si>
  <si>
    <t>SBD</t>
  </si>
  <si>
    <t>Solomon Islands Dollar</t>
  </si>
  <si>
    <t>SOLOMON ISLANDS</t>
  </si>
  <si>
    <t>090</t>
  </si>
  <si>
    <t>SOS</t>
  </si>
  <si>
    <t>Somali Shilling</t>
  </si>
  <si>
    <t>SOMALIA</t>
  </si>
  <si>
    <t>706</t>
  </si>
  <si>
    <t>SOUTH AFRICA</t>
  </si>
  <si>
    <t>SSP</t>
  </si>
  <si>
    <t>South Sudanese Pound</t>
  </si>
  <si>
    <t>SOUTH SUDAN</t>
  </si>
  <si>
    <t>728</t>
  </si>
  <si>
    <t>SPAIN</t>
  </si>
  <si>
    <t>LKR</t>
  </si>
  <si>
    <t>Sri Lanka Rupee</t>
  </si>
  <si>
    <t>SRI LANKA</t>
  </si>
  <si>
    <t>144</t>
  </si>
  <si>
    <t>SDG</t>
  </si>
  <si>
    <t>Sudanese Pound</t>
  </si>
  <si>
    <t>SUDAN (THE)</t>
  </si>
  <si>
    <t>938</t>
  </si>
  <si>
    <t>SRD</t>
  </si>
  <si>
    <t>Surinam Dollar</t>
  </si>
  <si>
    <t>SURINAME</t>
  </si>
  <si>
    <t>968</t>
  </si>
  <si>
    <t>SVALBARD AND JAN MAYEN</t>
  </si>
  <si>
    <t>SZL</t>
  </si>
  <si>
    <t>Lilangeni</t>
  </si>
  <si>
    <t>ESWATINI</t>
  </si>
  <si>
    <t>748</t>
  </si>
  <si>
    <t>SEK</t>
  </si>
  <si>
    <t>Swedish Krona</t>
  </si>
  <si>
    <t>SWEDEN</t>
  </si>
  <si>
    <t>752</t>
  </si>
  <si>
    <t>SWITZERLAND</t>
  </si>
  <si>
    <t>CHE</t>
  </si>
  <si>
    <t>WIR Euro</t>
  </si>
  <si>
    <t>947</t>
  </si>
  <si>
    <t>CHW</t>
  </si>
  <si>
    <t>WIR Franc</t>
  </si>
  <si>
    <t>948</t>
  </si>
  <si>
    <t>SYP</t>
  </si>
  <si>
    <t>Syrian Pound</t>
  </si>
  <si>
    <t>SYRIAN ARAB REPUBLIC</t>
  </si>
  <si>
    <t>760</t>
  </si>
  <si>
    <t>TWD</t>
  </si>
  <si>
    <t>New Taiwan Dollar</t>
  </si>
  <si>
    <t>TAIWAN (PROVINCE OF CHINA)</t>
  </si>
  <si>
    <t>901</t>
  </si>
  <si>
    <t>TJS</t>
  </si>
  <si>
    <t>Somoni</t>
  </si>
  <si>
    <t>TAJIKISTAN</t>
  </si>
  <si>
    <t>972</t>
  </si>
  <si>
    <t>TZS</t>
  </si>
  <si>
    <t>Tanzanian Shilling</t>
  </si>
  <si>
    <t>TANZANIA, UNITED REPUBLIC OF</t>
  </si>
  <si>
    <t>834</t>
  </si>
  <si>
    <t>THB</t>
  </si>
  <si>
    <t>Baht</t>
  </si>
  <si>
    <t>THAILAND</t>
  </si>
  <si>
    <t>764</t>
  </si>
  <si>
    <t>TIMOR-LESTE</t>
  </si>
  <si>
    <t>TOGO</t>
  </si>
  <si>
    <t>TOKELAU</t>
  </si>
  <si>
    <t>TOP</t>
  </si>
  <si>
    <t>Pa’anga</t>
  </si>
  <si>
    <t>TONGA</t>
  </si>
  <si>
    <t>776</t>
  </si>
  <si>
    <t>TTD</t>
  </si>
  <si>
    <t>Trinidad and Tobago Dollar</t>
  </si>
  <si>
    <t>TRINIDAD AND TOBAGO</t>
  </si>
  <si>
    <t>780</t>
  </si>
  <si>
    <t>TND</t>
  </si>
  <si>
    <t>Tunisian Dinar</t>
  </si>
  <si>
    <t>TUNISIA</t>
  </si>
  <si>
    <t>788</t>
  </si>
  <si>
    <t>TRY</t>
  </si>
  <si>
    <t>Turkish Lira</t>
  </si>
  <si>
    <t>TURKEY</t>
  </si>
  <si>
    <t>949</t>
  </si>
  <si>
    <t>TMT</t>
  </si>
  <si>
    <t>Turkmenistan New Manat</t>
  </si>
  <si>
    <t>TURKMENISTAN</t>
  </si>
  <si>
    <t>934</t>
  </si>
  <si>
    <t>TURKS AND CAICOS ISLANDS (THE)</t>
  </si>
  <si>
    <t>TUVALU</t>
  </si>
  <si>
    <t>UGX</t>
  </si>
  <si>
    <t>Uganda Shilling</t>
  </si>
  <si>
    <t>UGANDA</t>
  </si>
  <si>
    <t>800</t>
  </si>
  <si>
    <t>UAH</t>
  </si>
  <si>
    <t>Hryvnia</t>
  </si>
  <si>
    <t>UKRAINE</t>
  </si>
  <si>
    <t>980</t>
  </si>
  <si>
    <t>AED</t>
  </si>
  <si>
    <t>UAE Dirham</t>
  </si>
  <si>
    <t>UNITED ARAB EMIRATES (THE)</t>
  </si>
  <si>
    <t>784</t>
  </si>
  <si>
    <t>UNITED KINGDOM OF GREAT BRITAIN AND NORTHERN IRELAND (THE)</t>
  </si>
  <si>
    <t>UNITED STATES MINOR OUTLYING ISLANDS (THE)</t>
  </si>
  <si>
    <t>UNITED STATES OF AMERICA (THE)</t>
  </si>
  <si>
    <t>USN</t>
  </si>
  <si>
    <t>US Dollar (Next day)</t>
  </si>
  <si>
    <t>997</t>
  </si>
  <si>
    <t>UYU</t>
  </si>
  <si>
    <t>Peso Uruguayo</t>
  </si>
  <si>
    <t>URUGUAY</t>
  </si>
  <si>
    <t>858</t>
  </si>
  <si>
    <t>UYI</t>
  </si>
  <si>
    <t>Uruguay Peso en Unidades Indexadas (UI)</t>
  </si>
  <si>
    <t>940</t>
  </si>
  <si>
    <t>UYW</t>
  </si>
  <si>
    <t>Unidad Previsional</t>
  </si>
  <si>
    <t>927</t>
  </si>
  <si>
    <t>UZS</t>
  </si>
  <si>
    <t>Uzbekistan Sum</t>
  </si>
  <si>
    <t>UZBEKISTAN</t>
  </si>
  <si>
    <t>860</t>
  </si>
  <si>
    <t>VUV</t>
  </si>
  <si>
    <t>Vatu</t>
  </si>
  <si>
    <t>VANUATU</t>
  </si>
  <si>
    <t>548</t>
  </si>
  <si>
    <t>VES</t>
  </si>
  <si>
    <t>Bolívar Soberano</t>
  </si>
  <si>
    <t>VENEZUELA (BOLIVARIAN REPUBLIC OF)</t>
  </si>
  <si>
    <t>928</t>
  </si>
  <si>
    <t>VND</t>
  </si>
  <si>
    <t>Dong</t>
  </si>
  <si>
    <t>VIET NAM</t>
  </si>
  <si>
    <t>704</t>
  </si>
  <si>
    <t>VIRGIN ISLANDS (BRITISH)</t>
  </si>
  <si>
    <t>VIRGIN ISLANDS (U.S.)</t>
  </si>
  <si>
    <t>WALLIS AND FUTUNA</t>
  </si>
  <si>
    <t>WESTERN SAHARA</t>
  </si>
  <si>
    <t>YER</t>
  </si>
  <si>
    <t>Yemeni Rial</t>
  </si>
  <si>
    <t>YEMEN</t>
  </si>
  <si>
    <t>886</t>
  </si>
  <si>
    <t>ZMW</t>
  </si>
  <si>
    <t>Zambian Kwacha</t>
  </si>
  <si>
    <t>ZAMBIA</t>
  </si>
  <si>
    <t>967</t>
  </si>
  <si>
    <t>ZWL</t>
  </si>
  <si>
    <t>Zimbabwe Dollar</t>
  </si>
  <si>
    <t>ZIMBABWE</t>
  </si>
  <si>
    <t>932</t>
  </si>
  <si>
    <t>XBA</t>
  </si>
  <si>
    <t>Bond Markets Unit European Composite Unit (EURCO)</t>
  </si>
  <si>
    <t>ZZ01_Bond Markets Unit European_EURCO</t>
  </si>
  <si>
    <t>955</t>
  </si>
  <si>
    <t>XBB</t>
  </si>
  <si>
    <t>Bond Markets Unit European Monetary Unit (E.M.U.-6)</t>
  </si>
  <si>
    <t>ZZ02_Bond Markets Unit European_EMU-6</t>
  </si>
  <si>
    <t>956</t>
  </si>
  <si>
    <t>XBC</t>
  </si>
  <si>
    <t>Bond Markets Unit European Unit of Account 9 (E.U.A.-9)</t>
  </si>
  <si>
    <t>ZZ03_Bond Markets Unit European_EUA-9</t>
  </si>
  <si>
    <t>957</t>
  </si>
  <si>
    <t>XBD</t>
  </si>
  <si>
    <t>Bond Markets Unit European Unit of Account 17 (E.U.A.-17)</t>
  </si>
  <si>
    <t>ZZ04_Bond Markets Unit European_EUA-17</t>
  </si>
  <si>
    <t>958</t>
  </si>
  <si>
    <t>XTS</t>
  </si>
  <si>
    <t>Codes specifically reserved for testing purposes</t>
  </si>
  <si>
    <t>ZZ06_Testing_Code</t>
  </si>
  <si>
    <t>963</t>
  </si>
  <si>
    <t>XXX</t>
  </si>
  <si>
    <t>The codes assigned for transactions where no currency is involved</t>
  </si>
  <si>
    <t>ZZ07_No_Currency</t>
  </si>
  <si>
    <t>999</t>
  </si>
  <si>
    <t>XAU</t>
  </si>
  <si>
    <t>Gold</t>
  </si>
  <si>
    <t>ZZ08_Gold</t>
  </si>
  <si>
    <t>959</t>
  </si>
  <si>
    <t>XPD</t>
  </si>
  <si>
    <t>Palladium</t>
  </si>
  <si>
    <t>ZZ09_Palladium</t>
  </si>
  <si>
    <t>964</t>
  </si>
  <si>
    <t>XPT</t>
  </si>
  <si>
    <t>Platinum</t>
  </si>
  <si>
    <t>ZZ10_Platinum</t>
  </si>
  <si>
    <t>962</t>
  </si>
  <si>
    <t>XAG</t>
  </si>
  <si>
    <t>Silver</t>
  </si>
  <si>
    <t>ZZ11_Silver</t>
  </si>
  <si>
    <t>961</t>
  </si>
  <si>
    <t>4A</t>
  </si>
  <si>
    <t xml:space="preserve">BOBINAS                                               </t>
  </si>
  <si>
    <t>BJ</t>
  </si>
  <si>
    <t xml:space="preserve">BALDE                                                 </t>
  </si>
  <si>
    <t>BLL</t>
  </si>
  <si>
    <t xml:space="preserve">BARRILES                                              </t>
  </si>
  <si>
    <t>BG</t>
  </si>
  <si>
    <t xml:space="preserve">BOLSA                                                 </t>
  </si>
  <si>
    <t>BO</t>
  </si>
  <si>
    <t xml:space="preserve">BOTELLAS                                              </t>
  </si>
  <si>
    <t>BX</t>
  </si>
  <si>
    <t xml:space="preserve">CAJA                                                  </t>
  </si>
  <si>
    <t>CT</t>
  </si>
  <si>
    <t xml:space="preserve">CARTONES                                              </t>
  </si>
  <si>
    <t>CMK</t>
  </si>
  <si>
    <t xml:space="preserve">CENTIMETRO CUADRADO                                   </t>
  </si>
  <si>
    <t>CMQ</t>
  </si>
  <si>
    <t xml:space="preserve">CENTIMETRO CUBICO                                     </t>
  </si>
  <si>
    <t>CMT</t>
  </si>
  <si>
    <t xml:space="preserve">CENTIMETRO LINEAL                                     </t>
  </si>
  <si>
    <t>CEN</t>
  </si>
  <si>
    <t xml:space="preserve">CIENTO DE UNIDADES                                    </t>
  </si>
  <si>
    <t>CY</t>
  </si>
  <si>
    <t xml:space="preserve">CILINDRO                                              </t>
  </si>
  <si>
    <t>CJ</t>
  </si>
  <si>
    <t xml:space="preserve">CONOS                                                 </t>
  </si>
  <si>
    <t>DZN</t>
  </si>
  <si>
    <t xml:space="preserve">DOCENA                                                </t>
  </si>
  <si>
    <t>DZP</t>
  </si>
  <si>
    <t xml:space="preserve">DOCENA POR 10**6                                      </t>
  </si>
  <si>
    <t>BE</t>
  </si>
  <si>
    <t xml:space="preserve">FARDO                                                 </t>
  </si>
  <si>
    <t>GLI</t>
  </si>
  <si>
    <t>GALON INGLES (4,545956L)</t>
  </si>
  <si>
    <t>GRM</t>
  </si>
  <si>
    <t xml:space="preserve">GRAMO                                                 </t>
  </si>
  <si>
    <t>GRO</t>
  </si>
  <si>
    <t xml:space="preserve">GRUESA                                                </t>
  </si>
  <si>
    <t>HLT</t>
  </si>
  <si>
    <t xml:space="preserve">HECTOLITRO                                            </t>
  </si>
  <si>
    <t>LEF</t>
  </si>
  <si>
    <t xml:space="preserve">HOJA                                                  </t>
  </si>
  <si>
    <t>SET</t>
  </si>
  <si>
    <t xml:space="preserve">JUEGO                                                 </t>
  </si>
  <si>
    <t>KGM</t>
  </si>
  <si>
    <t xml:space="preserve">KILOGRAMO                                             </t>
  </si>
  <si>
    <t>KTM</t>
  </si>
  <si>
    <t xml:space="preserve">KILOMETRO                                             </t>
  </si>
  <si>
    <t>KWH</t>
  </si>
  <si>
    <t xml:space="preserve">KILOVATIO HORA                                        </t>
  </si>
  <si>
    <t>KT</t>
  </si>
  <si>
    <t xml:space="preserve">KIT                                                   </t>
  </si>
  <si>
    <t>CA</t>
  </si>
  <si>
    <t xml:space="preserve">LATAS                                                 </t>
  </si>
  <si>
    <t>LBR</t>
  </si>
  <si>
    <t xml:space="preserve">LIBRAS                                                </t>
  </si>
  <si>
    <t>LTR</t>
  </si>
  <si>
    <t xml:space="preserve">LITRO                                                 </t>
  </si>
  <si>
    <t>MWH</t>
  </si>
  <si>
    <t xml:space="preserve">MEGAWATT HORA                                         </t>
  </si>
  <si>
    <t>MTR</t>
  </si>
  <si>
    <t xml:space="preserve">METRO                                                 </t>
  </si>
  <si>
    <t>MTK</t>
  </si>
  <si>
    <t xml:space="preserve">METRO CUADRADO                                        </t>
  </si>
  <si>
    <t>MTQ</t>
  </si>
  <si>
    <t xml:space="preserve">METRO CUBICO                                          </t>
  </si>
  <si>
    <t>MGM</t>
  </si>
  <si>
    <t xml:space="preserve">MILIGRAMOS                                            </t>
  </si>
  <si>
    <t>MLT</t>
  </si>
  <si>
    <t xml:space="preserve">MILILITRO                                             </t>
  </si>
  <si>
    <t>MMT</t>
  </si>
  <si>
    <t xml:space="preserve">MILIMETRO                                             </t>
  </si>
  <si>
    <t xml:space="preserve">MILIMETRO CUADRADO                                    </t>
  </si>
  <si>
    <t>MMQ</t>
  </si>
  <si>
    <t xml:space="preserve">MILIMETRO CUBICO                                      </t>
  </si>
  <si>
    <t>MLL</t>
  </si>
  <si>
    <t xml:space="preserve">MILLARES                                              </t>
  </si>
  <si>
    <t>UM</t>
  </si>
  <si>
    <t xml:space="preserve">MILLON DE UNIDADES                                    </t>
  </si>
  <si>
    <t>ONZ</t>
  </si>
  <si>
    <t xml:space="preserve">ONZAS                                                 </t>
  </si>
  <si>
    <t>PF</t>
  </si>
  <si>
    <t xml:space="preserve">PALETAS                                               </t>
  </si>
  <si>
    <t>PK</t>
  </si>
  <si>
    <t xml:space="preserve">PAQUETE                                               </t>
  </si>
  <si>
    <t>PR</t>
  </si>
  <si>
    <t xml:space="preserve">PAR                                                   </t>
  </si>
  <si>
    <t>FOT</t>
  </si>
  <si>
    <t xml:space="preserve">PIES                                                  </t>
  </si>
  <si>
    <t>FTK</t>
  </si>
  <si>
    <t xml:space="preserve">PIES CUADRADOS                                        </t>
  </si>
  <si>
    <t>FTQ</t>
  </si>
  <si>
    <t xml:space="preserve">PIES CUBICOS                                          </t>
  </si>
  <si>
    <t>C62</t>
  </si>
  <si>
    <t xml:space="preserve">PIEZAS                                                </t>
  </si>
  <si>
    <t>PG</t>
  </si>
  <si>
    <t xml:space="preserve">PLACAS                                                </t>
  </si>
  <si>
    <t>ST</t>
  </si>
  <si>
    <t xml:space="preserve">PLIEGO                                                </t>
  </si>
  <si>
    <t>INH</t>
  </si>
  <si>
    <t xml:space="preserve">PULGADAS                                              </t>
  </si>
  <si>
    <t>RM</t>
  </si>
  <si>
    <t xml:space="preserve">RESMA                                                 </t>
  </si>
  <si>
    <t>DR</t>
  </si>
  <si>
    <t xml:space="preserve">TAMBOR                                                </t>
  </si>
  <si>
    <t xml:space="preserve">TONELADA CORTA                                        </t>
  </si>
  <si>
    <t>LTN</t>
  </si>
  <si>
    <t xml:space="preserve">TONELADA LARGA                                        </t>
  </si>
  <si>
    <t>TNE</t>
  </si>
  <si>
    <t xml:space="preserve">TONELADAS                                             </t>
  </si>
  <si>
    <t>TU</t>
  </si>
  <si>
    <t xml:space="preserve">TUBOS                                                 </t>
  </si>
  <si>
    <t>NIU</t>
  </si>
  <si>
    <t xml:space="preserve">UNIDAD (BIENES)                                      </t>
  </si>
  <si>
    <t>ZZ</t>
  </si>
  <si>
    <t xml:space="preserve">UNIDAD (SERVICIOS) </t>
  </si>
  <si>
    <t>GLL</t>
  </si>
  <si>
    <t>US GALON (3,7843 L)</t>
  </si>
  <si>
    <t>YRD</t>
  </si>
  <si>
    <t xml:space="preserve">YARDA                                                 </t>
  </si>
  <si>
    <t>YDK</t>
  </si>
  <si>
    <t xml:space="preserve">YARDA CUADRADA                                        </t>
  </si>
  <si>
    <t>code_a2</t>
  </si>
  <si>
    <t>AX</t>
  </si>
  <si>
    <t>AALAND ISLANDS</t>
  </si>
  <si>
    <t>ALA</t>
  </si>
  <si>
    <t>248</t>
  </si>
  <si>
    <t>AF</t>
  </si>
  <si>
    <t>AFG</t>
  </si>
  <si>
    <t>004</t>
  </si>
  <si>
    <t>AL</t>
  </si>
  <si>
    <t>ALB</t>
  </si>
  <si>
    <t>DZ</t>
  </si>
  <si>
    <t>DZA</t>
  </si>
  <si>
    <t>AS</t>
  </si>
  <si>
    <t>ASM</t>
  </si>
  <si>
    <t>016</t>
  </si>
  <si>
    <t>AD</t>
  </si>
  <si>
    <t>AND</t>
  </si>
  <si>
    <t>020</t>
  </si>
  <si>
    <t>AO</t>
  </si>
  <si>
    <t>AGO</t>
  </si>
  <si>
    <t>024</t>
  </si>
  <si>
    <t>AI</t>
  </si>
  <si>
    <t>AIA</t>
  </si>
  <si>
    <t>660</t>
  </si>
  <si>
    <t>AQ</t>
  </si>
  <si>
    <t>ANTARCTICA</t>
  </si>
  <si>
    <t>ATA</t>
  </si>
  <si>
    <t>010</t>
  </si>
  <si>
    <t>AG</t>
  </si>
  <si>
    <t>ATG</t>
  </si>
  <si>
    <t>028</t>
  </si>
  <si>
    <t>AR</t>
  </si>
  <si>
    <t>ARG</t>
  </si>
  <si>
    <t>AM</t>
  </si>
  <si>
    <t>ARM</t>
  </si>
  <si>
    <t>AW</t>
  </si>
  <si>
    <t>ABW</t>
  </si>
  <si>
    <t>AU</t>
  </si>
  <si>
    <t>AUS</t>
  </si>
  <si>
    <t>AT</t>
  </si>
  <si>
    <t>AUT</t>
  </si>
  <si>
    <t>040</t>
  </si>
  <si>
    <t>AZ</t>
  </si>
  <si>
    <t>AZE</t>
  </si>
  <si>
    <t>031</t>
  </si>
  <si>
    <t>BS</t>
  </si>
  <si>
    <t>BAHAMAS</t>
  </si>
  <si>
    <t>BHS</t>
  </si>
  <si>
    <t>BH</t>
  </si>
  <si>
    <t>BHR</t>
  </si>
  <si>
    <t>BD</t>
  </si>
  <si>
    <t>BGD</t>
  </si>
  <si>
    <t>BB</t>
  </si>
  <si>
    <t>BRB</t>
  </si>
  <si>
    <t>BY</t>
  </si>
  <si>
    <t>BLR</t>
  </si>
  <si>
    <t>112</t>
  </si>
  <si>
    <t>BEL</t>
  </si>
  <si>
    <t>056</t>
  </si>
  <si>
    <t>BZ</t>
  </si>
  <si>
    <t>BLZ</t>
  </si>
  <si>
    <t>BEN</t>
  </si>
  <si>
    <t>204</t>
  </si>
  <si>
    <t>BM</t>
  </si>
  <si>
    <t>BMU</t>
  </si>
  <si>
    <t>BT</t>
  </si>
  <si>
    <t>BOLIVIA</t>
  </si>
  <si>
    <t>BOL</t>
  </si>
  <si>
    <t>BA</t>
  </si>
  <si>
    <t>BOSNIA AND HERZEGOWINA</t>
  </si>
  <si>
    <t>BIH</t>
  </si>
  <si>
    <t>070</t>
  </si>
  <si>
    <t>BW</t>
  </si>
  <si>
    <t>BWA</t>
  </si>
  <si>
    <t>BV</t>
  </si>
  <si>
    <t>BVT</t>
  </si>
  <si>
    <t>074</t>
  </si>
  <si>
    <t>BR</t>
  </si>
  <si>
    <t>BRA</t>
  </si>
  <si>
    <t>076</t>
  </si>
  <si>
    <t>IO</t>
  </si>
  <si>
    <t>BRITISH INDIAN OCEAN TERRITORY</t>
  </si>
  <si>
    <t>IOT</t>
  </si>
  <si>
    <t>086</t>
  </si>
  <si>
    <t>BN</t>
  </si>
  <si>
    <t>BRN</t>
  </si>
  <si>
    <t>BGR</t>
  </si>
  <si>
    <t>100</t>
  </si>
  <si>
    <t>BF</t>
  </si>
  <si>
    <t>BFA</t>
  </si>
  <si>
    <t>854</t>
  </si>
  <si>
    <t>BI</t>
  </si>
  <si>
    <t>BDI</t>
  </si>
  <si>
    <t>KH</t>
  </si>
  <si>
    <t>KHM</t>
  </si>
  <si>
    <t>CM</t>
  </si>
  <si>
    <t>CMR</t>
  </si>
  <si>
    <t>120</t>
  </si>
  <si>
    <t>CAN</t>
  </si>
  <si>
    <t>CV</t>
  </si>
  <si>
    <t>CAPE VERDE</t>
  </si>
  <si>
    <t>CPV</t>
  </si>
  <si>
    <t>KY</t>
  </si>
  <si>
    <t>CAYMAN ISLANDS</t>
  </si>
  <si>
    <t>CYM</t>
  </si>
  <si>
    <t>CF</t>
  </si>
  <si>
    <t>CENTRAL AFRICAN REPUBLIC</t>
  </si>
  <si>
    <t>CAF</t>
  </si>
  <si>
    <t>140</t>
  </si>
  <si>
    <t>TD</t>
  </si>
  <si>
    <t>TCD</t>
  </si>
  <si>
    <t>148</t>
  </si>
  <si>
    <t>CL</t>
  </si>
  <si>
    <t>CHL</t>
  </si>
  <si>
    <t>CN</t>
  </si>
  <si>
    <t>CHN</t>
  </si>
  <si>
    <t>CX</t>
  </si>
  <si>
    <t>CXR</t>
  </si>
  <si>
    <t>162</t>
  </si>
  <si>
    <t>CC</t>
  </si>
  <si>
    <t>COCOS (KEELING) ISLANDS</t>
  </si>
  <si>
    <t>CCK</t>
  </si>
  <si>
    <t>166</t>
  </si>
  <si>
    <t>CO</t>
  </si>
  <si>
    <t>COL</t>
  </si>
  <si>
    <t>KM</t>
  </si>
  <si>
    <t>COMOROS</t>
  </si>
  <si>
    <t>COM</t>
  </si>
  <si>
    <t>CD</t>
  </si>
  <si>
    <t>CONGO, Democratic Republic of (was Zaire)</t>
  </si>
  <si>
    <t>COD</t>
  </si>
  <si>
    <t>180</t>
  </si>
  <si>
    <t>CG</t>
  </si>
  <si>
    <t>CONGO, Republic of</t>
  </si>
  <si>
    <t>COG</t>
  </si>
  <si>
    <t>178</t>
  </si>
  <si>
    <t>CK</t>
  </si>
  <si>
    <t>COOK ISLANDS</t>
  </si>
  <si>
    <t>COK</t>
  </si>
  <si>
    <t>184</t>
  </si>
  <si>
    <t>CR</t>
  </si>
  <si>
    <t>CRI</t>
  </si>
  <si>
    <t>CI</t>
  </si>
  <si>
    <t>COTE D'IVOIRE</t>
  </si>
  <si>
    <t>CIV</t>
  </si>
  <si>
    <t>384</t>
  </si>
  <si>
    <t>HR</t>
  </si>
  <si>
    <t>CROATIA (local name: Hrvatska)</t>
  </si>
  <si>
    <t>HRV</t>
  </si>
  <si>
    <t>CU</t>
  </si>
  <si>
    <t>CUB</t>
  </si>
  <si>
    <t>CYP</t>
  </si>
  <si>
    <t>196</t>
  </si>
  <si>
    <t>CZ</t>
  </si>
  <si>
    <t>CZECH REPUBLIC</t>
  </si>
  <si>
    <t>CZE</t>
  </si>
  <si>
    <t>DK</t>
  </si>
  <si>
    <t>DNK</t>
  </si>
  <si>
    <t>DJ</t>
  </si>
  <si>
    <t>DJI</t>
  </si>
  <si>
    <t>DM</t>
  </si>
  <si>
    <t>DMA</t>
  </si>
  <si>
    <t>212</t>
  </si>
  <si>
    <t>DO</t>
  </si>
  <si>
    <t>DOMINICAN REPUBLIC</t>
  </si>
  <si>
    <t>DOM</t>
  </si>
  <si>
    <t>EC</t>
  </si>
  <si>
    <t>ECU</t>
  </si>
  <si>
    <t>218</t>
  </si>
  <si>
    <t>EG</t>
  </si>
  <si>
    <t>EGY</t>
  </si>
  <si>
    <t>SV</t>
  </si>
  <si>
    <t>SLV</t>
  </si>
  <si>
    <t>GQ</t>
  </si>
  <si>
    <t>GNQ</t>
  </si>
  <si>
    <t>226</t>
  </si>
  <si>
    <t>ER</t>
  </si>
  <si>
    <t>ERI</t>
  </si>
  <si>
    <t>EE</t>
  </si>
  <si>
    <t>EST</t>
  </si>
  <si>
    <t>233</t>
  </si>
  <si>
    <t>ET</t>
  </si>
  <si>
    <t>ETH</t>
  </si>
  <si>
    <t>231</t>
  </si>
  <si>
    <t>FK</t>
  </si>
  <si>
    <t>FALKLAND ISLANDS (MALVINAS)</t>
  </si>
  <si>
    <t>FLK</t>
  </si>
  <si>
    <t>FO</t>
  </si>
  <si>
    <t>FAROE ISLANDS</t>
  </si>
  <si>
    <t>FRO</t>
  </si>
  <si>
    <t>234</t>
  </si>
  <si>
    <t>FJ</t>
  </si>
  <si>
    <t>FJI</t>
  </si>
  <si>
    <t>FI</t>
  </si>
  <si>
    <t>FIN</t>
  </si>
  <si>
    <t>246</t>
  </si>
  <si>
    <t>FR</t>
  </si>
  <si>
    <t>FRA</t>
  </si>
  <si>
    <t>250</t>
  </si>
  <si>
    <t>GF</t>
  </si>
  <si>
    <t>GUF</t>
  </si>
  <si>
    <t>254</t>
  </si>
  <si>
    <t>PYF</t>
  </si>
  <si>
    <t>258</t>
  </si>
  <si>
    <t>TF</t>
  </si>
  <si>
    <t>FRENCH SOUTHERN TERRITORIES</t>
  </si>
  <si>
    <t>ATF</t>
  </si>
  <si>
    <t>260</t>
  </si>
  <si>
    <t>GA</t>
  </si>
  <si>
    <t>GAB</t>
  </si>
  <si>
    <t>266</t>
  </si>
  <si>
    <t>GM</t>
  </si>
  <si>
    <t>GAMBIA</t>
  </si>
  <si>
    <t>GMB</t>
  </si>
  <si>
    <t>GE</t>
  </si>
  <si>
    <t>GEO</t>
  </si>
  <si>
    <t>268</t>
  </si>
  <si>
    <t>DE</t>
  </si>
  <si>
    <t>DEU</t>
  </si>
  <si>
    <t>276</t>
  </si>
  <si>
    <t>GH</t>
  </si>
  <si>
    <t>GHA</t>
  </si>
  <si>
    <t>288</t>
  </si>
  <si>
    <t>GI</t>
  </si>
  <si>
    <t>GIB</t>
  </si>
  <si>
    <t>GR</t>
  </si>
  <si>
    <t>GRC</t>
  </si>
  <si>
    <t>300</t>
  </si>
  <si>
    <t>GL</t>
  </si>
  <si>
    <t>GRL</t>
  </si>
  <si>
    <t>304</t>
  </si>
  <si>
    <t>GD</t>
  </si>
  <si>
    <t>GRD</t>
  </si>
  <si>
    <t>308</t>
  </si>
  <si>
    <t>GP</t>
  </si>
  <si>
    <t>GLP</t>
  </si>
  <si>
    <t>312</t>
  </si>
  <si>
    <t>GU</t>
  </si>
  <si>
    <t>GUM</t>
  </si>
  <si>
    <t>316</t>
  </si>
  <si>
    <t>GT</t>
  </si>
  <si>
    <t>GTM</t>
  </si>
  <si>
    <t>GN</t>
  </si>
  <si>
    <t>GIN</t>
  </si>
  <si>
    <t>GW</t>
  </si>
  <si>
    <t>GNB</t>
  </si>
  <si>
    <t>624</t>
  </si>
  <si>
    <t>GY</t>
  </si>
  <si>
    <t>GUY</t>
  </si>
  <si>
    <t>HT</t>
  </si>
  <si>
    <t>HTI</t>
  </si>
  <si>
    <t>HM</t>
  </si>
  <si>
    <t>HEARD AND MC DONALD ISLANDS</t>
  </si>
  <si>
    <t>HMD</t>
  </si>
  <si>
    <t>334</t>
  </si>
  <si>
    <t>HN</t>
  </si>
  <si>
    <t>HND</t>
  </si>
  <si>
    <t>HK</t>
  </si>
  <si>
    <t>HKG</t>
  </si>
  <si>
    <t>HU</t>
  </si>
  <si>
    <t>HUN</t>
  </si>
  <si>
    <t>IS</t>
  </si>
  <si>
    <t>ISL</t>
  </si>
  <si>
    <t>IN</t>
  </si>
  <si>
    <t>IND</t>
  </si>
  <si>
    <t>ID</t>
  </si>
  <si>
    <t>IDN</t>
  </si>
  <si>
    <t>IR</t>
  </si>
  <si>
    <t>IRN</t>
  </si>
  <si>
    <t>IQ</t>
  </si>
  <si>
    <t>IRQ</t>
  </si>
  <si>
    <t>IE</t>
  </si>
  <si>
    <t>IRL</t>
  </si>
  <si>
    <t>372</t>
  </si>
  <si>
    <t>IL</t>
  </si>
  <si>
    <t>ISR</t>
  </si>
  <si>
    <t>IT</t>
  </si>
  <si>
    <t>ITA</t>
  </si>
  <si>
    <t>380</t>
  </si>
  <si>
    <t>JM</t>
  </si>
  <si>
    <t>JAM</t>
  </si>
  <si>
    <t>JP</t>
  </si>
  <si>
    <t>JPN</t>
  </si>
  <si>
    <t>JO</t>
  </si>
  <si>
    <t>JOR</t>
  </si>
  <si>
    <t>KZ</t>
  </si>
  <si>
    <t>KAZ</t>
  </si>
  <si>
    <t>KE</t>
  </si>
  <si>
    <t>KEN</t>
  </si>
  <si>
    <t>KI</t>
  </si>
  <si>
    <t>KIR</t>
  </si>
  <si>
    <t>296</t>
  </si>
  <si>
    <t>KP</t>
  </si>
  <si>
    <t>KOREA, DEMOCRATIC PEOPLE'S REPUBLIC OF</t>
  </si>
  <si>
    <t>PRK</t>
  </si>
  <si>
    <t>KR</t>
  </si>
  <si>
    <t>KOREA, REPUBLIC OF</t>
  </si>
  <si>
    <t>KOR</t>
  </si>
  <si>
    <t>KW</t>
  </si>
  <si>
    <t>KWT</t>
  </si>
  <si>
    <t>KG</t>
  </si>
  <si>
    <t>KGZ</t>
  </si>
  <si>
    <t>LA</t>
  </si>
  <si>
    <t>LAO PEOPLE'S DEMOCRATIC REPUBLIC</t>
  </si>
  <si>
    <t>LAO</t>
  </si>
  <si>
    <t>LV</t>
  </si>
  <si>
    <t>LVA</t>
  </si>
  <si>
    <t>428</t>
  </si>
  <si>
    <t>LB</t>
  </si>
  <si>
    <t>LBN</t>
  </si>
  <si>
    <t>LS</t>
  </si>
  <si>
    <t>LSO</t>
  </si>
  <si>
    <t>LR</t>
  </si>
  <si>
    <t>LY</t>
  </si>
  <si>
    <t>LIBYAN ARAB JAMAHIRIYA</t>
  </si>
  <si>
    <t>LBY</t>
  </si>
  <si>
    <t>LI</t>
  </si>
  <si>
    <t>LIE</t>
  </si>
  <si>
    <t>438</t>
  </si>
  <si>
    <t>LT</t>
  </si>
  <si>
    <t>LTU</t>
  </si>
  <si>
    <t>440</t>
  </si>
  <si>
    <t>LU</t>
  </si>
  <si>
    <t>LUX</t>
  </si>
  <si>
    <t>442</t>
  </si>
  <si>
    <t>MO</t>
  </si>
  <si>
    <t>MACAU</t>
  </si>
  <si>
    <t>MAC</t>
  </si>
  <si>
    <t>MK</t>
  </si>
  <si>
    <t>MACEDONIA, THE FORMER YUGOSLAV REPUBLIC OF</t>
  </si>
  <si>
    <t>MG</t>
  </si>
  <si>
    <t>MDG</t>
  </si>
  <si>
    <t>450</t>
  </si>
  <si>
    <t>MW</t>
  </si>
  <si>
    <t>MWI</t>
  </si>
  <si>
    <t>MY</t>
  </si>
  <si>
    <t>MYS</t>
  </si>
  <si>
    <t>MV</t>
  </si>
  <si>
    <t>MDV</t>
  </si>
  <si>
    <t>ML</t>
  </si>
  <si>
    <t>MLI</t>
  </si>
  <si>
    <t>466</t>
  </si>
  <si>
    <t>MT</t>
  </si>
  <si>
    <t>470</t>
  </si>
  <si>
    <t>MH</t>
  </si>
  <si>
    <t>MARSHALL ISLANDS</t>
  </si>
  <si>
    <t>MHL</t>
  </si>
  <si>
    <t>584</t>
  </si>
  <si>
    <t>MQ</t>
  </si>
  <si>
    <t>474</t>
  </si>
  <si>
    <t>MR</t>
  </si>
  <si>
    <t>MRT</t>
  </si>
  <si>
    <t>478</t>
  </si>
  <si>
    <t>MU</t>
  </si>
  <si>
    <t>MUS</t>
  </si>
  <si>
    <t>YT</t>
  </si>
  <si>
    <t>MYT</t>
  </si>
  <si>
    <t>175</t>
  </si>
  <si>
    <t>MX</t>
  </si>
  <si>
    <t>MEX</t>
  </si>
  <si>
    <t>FM</t>
  </si>
  <si>
    <t>MICRONESIA, FEDERATED STATES OF</t>
  </si>
  <si>
    <t>FSM</t>
  </si>
  <si>
    <t>583</t>
  </si>
  <si>
    <t>MD</t>
  </si>
  <si>
    <t>MOLDOVA, REPUBLIC OF</t>
  </si>
  <si>
    <t>MDA</t>
  </si>
  <si>
    <t>MC</t>
  </si>
  <si>
    <t>MCO</t>
  </si>
  <si>
    <t>492</t>
  </si>
  <si>
    <t>MN</t>
  </si>
  <si>
    <t>MNG</t>
  </si>
  <si>
    <t>MS</t>
  </si>
  <si>
    <t>MSR</t>
  </si>
  <si>
    <t>500</t>
  </si>
  <si>
    <t>MA</t>
  </si>
  <si>
    <t>MAR</t>
  </si>
  <si>
    <t>MZ</t>
  </si>
  <si>
    <t>MOZ</t>
  </si>
  <si>
    <t>508</t>
  </si>
  <si>
    <t>MM</t>
  </si>
  <si>
    <t>MMR</t>
  </si>
  <si>
    <t>NA</t>
  </si>
  <si>
    <t>NAM</t>
  </si>
  <si>
    <t>NR</t>
  </si>
  <si>
    <t>NRU</t>
  </si>
  <si>
    <t>520</t>
  </si>
  <si>
    <t>NP</t>
  </si>
  <si>
    <t>NPL</t>
  </si>
  <si>
    <t>NL</t>
  </si>
  <si>
    <t>NETHERLANDS</t>
  </si>
  <si>
    <t>NLD</t>
  </si>
  <si>
    <t>528</t>
  </si>
  <si>
    <t>AN</t>
  </si>
  <si>
    <t>NETHERLANDS ANTILLES</t>
  </si>
  <si>
    <t>ANT</t>
  </si>
  <si>
    <t>530</t>
  </si>
  <si>
    <t>NC</t>
  </si>
  <si>
    <t>NCL</t>
  </si>
  <si>
    <t>540</t>
  </si>
  <si>
    <t>NZ</t>
  </si>
  <si>
    <t>NZL</t>
  </si>
  <si>
    <t>NI</t>
  </si>
  <si>
    <t>NIC</t>
  </si>
  <si>
    <t>NE</t>
  </si>
  <si>
    <t>NIGER</t>
  </si>
  <si>
    <t>NER</t>
  </si>
  <si>
    <t>562</t>
  </si>
  <si>
    <t>NG</t>
  </si>
  <si>
    <t>NGA</t>
  </si>
  <si>
    <t>NU</t>
  </si>
  <si>
    <t>570</t>
  </si>
  <si>
    <t>NF</t>
  </si>
  <si>
    <t>NFK</t>
  </si>
  <si>
    <t>574</t>
  </si>
  <si>
    <t>MP</t>
  </si>
  <si>
    <t>NORTHERN MARIANA ISLANDS</t>
  </si>
  <si>
    <t>MNP</t>
  </si>
  <si>
    <t>580</t>
  </si>
  <si>
    <t>NO</t>
  </si>
  <si>
    <t>NOR</t>
  </si>
  <si>
    <t>OM</t>
  </si>
  <si>
    <t>OMN</t>
  </si>
  <si>
    <t>PAK</t>
  </si>
  <si>
    <t>PW</t>
  </si>
  <si>
    <t>PLW</t>
  </si>
  <si>
    <t>585</t>
  </si>
  <si>
    <t>PS</t>
  </si>
  <si>
    <t>PALESTINIAN TERRITORY, Occupied</t>
  </si>
  <si>
    <t>PSE</t>
  </si>
  <si>
    <t>275</t>
  </si>
  <si>
    <t>PA</t>
  </si>
  <si>
    <t>PAN</t>
  </si>
  <si>
    <t>591</t>
  </si>
  <si>
    <t>PNG</t>
  </si>
  <si>
    <t>PY</t>
  </si>
  <si>
    <t>PRY</t>
  </si>
  <si>
    <t>PE</t>
  </si>
  <si>
    <t>PER</t>
  </si>
  <si>
    <t>PH</t>
  </si>
  <si>
    <t>PHILIPPINES</t>
  </si>
  <si>
    <t>PHL</t>
  </si>
  <si>
    <t>PN</t>
  </si>
  <si>
    <t>PCN</t>
  </si>
  <si>
    <t>612</t>
  </si>
  <si>
    <t>PL</t>
  </si>
  <si>
    <t>POL</t>
  </si>
  <si>
    <t>616</t>
  </si>
  <si>
    <t>PT</t>
  </si>
  <si>
    <t>PRT</t>
  </si>
  <si>
    <t>620</t>
  </si>
  <si>
    <t>PRI</t>
  </si>
  <si>
    <t>630</t>
  </si>
  <si>
    <t>QA</t>
  </si>
  <si>
    <t>QAT</t>
  </si>
  <si>
    <t>RE</t>
  </si>
  <si>
    <t>REUNION</t>
  </si>
  <si>
    <t>REU</t>
  </si>
  <si>
    <t>638</t>
  </si>
  <si>
    <t>RO</t>
  </si>
  <si>
    <t>ROU</t>
  </si>
  <si>
    <t>642</t>
  </si>
  <si>
    <t>RU</t>
  </si>
  <si>
    <t>RUSSIAN FEDERATION</t>
  </si>
  <si>
    <t>RUS</t>
  </si>
  <si>
    <t>RW</t>
  </si>
  <si>
    <t>RWA</t>
  </si>
  <si>
    <t>SH</t>
  </si>
  <si>
    <t>SAINT HELENA</t>
  </si>
  <si>
    <t>SHN</t>
  </si>
  <si>
    <t>KN</t>
  </si>
  <si>
    <t>KNA</t>
  </si>
  <si>
    <t>659</t>
  </si>
  <si>
    <t>LC</t>
  </si>
  <si>
    <t>LCA</t>
  </si>
  <si>
    <t>662</t>
  </si>
  <si>
    <t>PM</t>
  </si>
  <si>
    <t>SPM</t>
  </si>
  <si>
    <t>666</t>
  </si>
  <si>
    <t>VC</t>
  </si>
  <si>
    <t>VCT</t>
  </si>
  <si>
    <t>670</t>
  </si>
  <si>
    <t>WS</t>
  </si>
  <si>
    <t>WSM</t>
  </si>
  <si>
    <t>SM</t>
  </si>
  <si>
    <t>SMR</t>
  </si>
  <si>
    <t>674</t>
  </si>
  <si>
    <t>STP</t>
  </si>
  <si>
    <t>678</t>
  </si>
  <si>
    <t>SA</t>
  </si>
  <si>
    <t>SAU</t>
  </si>
  <si>
    <t>SN</t>
  </si>
  <si>
    <t>SEN</t>
  </si>
  <si>
    <t>686</t>
  </si>
  <si>
    <t>CS</t>
  </si>
  <si>
    <t>SERBIA AND MONTENEGRO</t>
  </si>
  <si>
    <t>SCG</t>
  </si>
  <si>
    <t>891</t>
  </si>
  <si>
    <t>SC</t>
  </si>
  <si>
    <t>SYC</t>
  </si>
  <si>
    <t>SL</t>
  </si>
  <si>
    <t>SLE</t>
  </si>
  <si>
    <t>SG</t>
  </si>
  <si>
    <t>SGP</t>
  </si>
  <si>
    <t>SK</t>
  </si>
  <si>
    <t>SVK</t>
  </si>
  <si>
    <t>703</t>
  </si>
  <si>
    <t>SI</t>
  </si>
  <si>
    <t>SVN</t>
  </si>
  <si>
    <t>705</t>
  </si>
  <si>
    <t>SB</t>
  </si>
  <si>
    <t>SLB</t>
  </si>
  <si>
    <t>SO</t>
  </si>
  <si>
    <t>SOM</t>
  </si>
  <si>
    <t>ZA</t>
  </si>
  <si>
    <t>ZAF</t>
  </si>
  <si>
    <t>GS</t>
  </si>
  <si>
    <t>SOUTH GEORGIA AND THE SOUTH SANDWICH ISLANDS</t>
  </si>
  <si>
    <t>SGS</t>
  </si>
  <si>
    <t>239</t>
  </si>
  <si>
    <t>ES</t>
  </si>
  <si>
    <t>ESP</t>
  </si>
  <si>
    <t>724</t>
  </si>
  <si>
    <t>LK</t>
  </si>
  <si>
    <t>LKA</t>
  </si>
  <si>
    <t>SD</t>
  </si>
  <si>
    <t>SUDAN</t>
  </si>
  <si>
    <t>SDN</t>
  </si>
  <si>
    <t>736</t>
  </si>
  <si>
    <t>SR</t>
  </si>
  <si>
    <t>SUR</t>
  </si>
  <si>
    <t>740</t>
  </si>
  <si>
    <t>SJ</t>
  </si>
  <si>
    <t>SVALBARD AND JAN MAYEN ISLANDS</t>
  </si>
  <si>
    <t>SJM</t>
  </si>
  <si>
    <t>744</t>
  </si>
  <si>
    <t>SZ</t>
  </si>
  <si>
    <t>SWAZILAND</t>
  </si>
  <si>
    <t>SWZ</t>
  </si>
  <si>
    <t>SE</t>
  </si>
  <si>
    <t>SWE</t>
  </si>
  <si>
    <t>CH</t>
  </si>
  <si>
    <t>SY</t>
  </si>
  <si>
    <t>SYR</t>
  </si>
  <si>
    <t>TW</t>
  </si>
  <si>
    <t>TAIWAN</t>
  </si>
  <si>
    <t>TWN</t>
  </si>
  <si>
    <t>158</t>
  </si>
  <si>
    <t>TJ</t>
  </si>
  <si>
    <t>TJK</t>
  </si>
  <si>
    <t>762</t>
  </si>
  <si>
    <t>TZ</t>
  </si>
  <si>
    <t>TZA</t>
  </si>
  <si>
    <t>TH</t>
  </si>
  <si>
    <t>THA</t>
  </si>
  <si>
    <t>TL</t>
  </si>
  <si>
    <t>TLS</t>
  </si>
  <si>
    <t>626</t>
  </si>
  <si>
    <t>TG</t>
  </si>
  <si>
    <t>TGO</t>
  </si>
  <si>
    <t>768</t>
  </si>
  <si>
    <t>TK</t>
  </si>
  <si>
    <t>TKL</t>
  </si>
  <si>
    <t>772</t>
  </si>
  <si>
    <t>TO</t>
  </si>
  <si>
    <t>TON</t>
  </si>
  <si>
    <t>TT</t>
  </si>
  <si>
    <t>TTO</t>
  </si>
  <si>
    <t>TN</t>
  </si>
  <si>
    <t>TUN</t>
  </si>
  <si>
    <t>TR</t>
  </si>
  <si>
    <t>TUR</t>
  </si>
  <si>
    <t>792</t>
  </si>
  <si>
    <t>TM</t>
  </si>
  <si>
    <t>TKM</t>
  </si>
  <si>
    <t>795</t>
  </si>
  <si>
    <t>TC</t>
  </si>
  <si>
    <t>TURKS AND CAICOS ISLANDS</t>
  </si>
  <si>
    <t>TCA</t>
  </si>
  <si>
    <t>796</t>
  </si>
  <si>
    <t>TV</t>
  </si>
  <si>
    <t>TUV</t>
  </si>
  <si>
    <t>798</t>
  </si>
  <si>
    <t>UG</t>
  </si>
  <si>
    <t>UGA</t>
  </si>
  <si>
    <t>UA</t>
  </si>
  <si>
    <t>UKR</t>
  </si>
  <si>
    <t>804</t>
  </si>
  <si>
    <t>AE</t>
  </si>
  <si>
    <t>UNITED ARAB EMIRATES</t>
  </si>
  <si>
    <t>ARE</t>
  </si>
  <si>
    <t>GB</t>
  </si>
  <si>
    <t>UNITED KINGDOM</t>
  </si>
  <si>
    <t>GBR</t>
  </si>
  <si>
    <t>US</t>
  </si>
  <si>
    <t>UNITED STATES</t>
  </si>
  <si>
    <t>USA</t>
  </si>
  <si>
    <t>UNITED STATES MINOR OUTLYING ISLANDS</t>
  </si>
  <si>
    <t>UMI</t>
  </si>
  <si>
    <t>581</t>
  </si>
  <si>
    <t>UY</t>
  </si>
  <si>
    <t>URY</t>
  </si>
  <si>
    <t>UZ</t>
  </si>
  <si>
    <t>UZB</t>
  </si>
  <si>
    <t>VU</t>
  </si>
  <si>
    <t>VUT</t>
  </si>
  <si>
    <t>VA</t>
  </si>
  <si>
    <t>VATICAN CITY STATE (HOLY SEE)</t>
  </si>
  <si>
    <t>VAT</t>
  </si>
  <si>
    <t>336</t>
  </si>
  <si>
    <t>VE</t>
  </si>
  <si>
    <t>VENEZUELA</t>
  </si>
  <si>
    <t>VEN</t>
  </si>
  <si>
    <t>862</t>
  </si>
  <si>
    <t>VN</t>
  </si>
  <si>
    <t>VNM</t>
  </si>
  <si>
    <t>VG</t>
  </si>
  <si>
    <t>VGB</t>
  </si>
  <si>
    <t>092</t>
  </si>
  <si>
    <t>VI</t>
  </si>
  <si>
    <t>VIR</t>
  </si>
  <si>
    <t>850</t>
  </si>
  <si>
    <t>WF</t>
  </si>
  <si>
    <t>WALLIS AND FUTUNA ISLANDS</t>
  </si>
  <si>
    <t>WLF</t>
  </si>
  <si>
    <t>876</t>
  </si>
  <si>
    <t>EH</t>
  </si>
  <si>
    <t>ESH</t>
  </si>
  <si>
    <t>732</t>
  </si>
  <si>
    <t>YE</t>
  </si>
  <si>
    <t>YEM</t>
  </si>
  <si>
    <t>887</t>
  </si>
  <si>
    <t>ZM</t>
  </si>
  <si>
    <t>ZMB</t>
  </si>
  <si>
    <t>894</t>
  </si>
  <si>
    <t>ZW</t>
  </si>
  <si>
    <t>ZWE</t>
  </si>
  <si>
    <t>716</t>
  </si>
  <si>
    <t>international_code</t>
  </si>
  <si>
    <t>name_code</t>
  </si>
  <si>
    <t>1000</t>
  </si>
  <si>
    <t>IGV Impuesto General a las Ventas</t>
  </si>
  <si>
    <t>IGV</t>
  </si>
  <si>
    <t>1016</t>
  </si>
  <si>
    <t>Impuesto a la Venta Arroz Pilado</t>
  </si>
  <si>
    <t>IVAP</t>
  </si>
  <si>
    <t>2000</t>
  </si>
  <si>
    <t>ISC Impuesto Selectivo al Consumo</t>
  </si>
  <si>
    <t>EXC</t>
  </si>
  <si>
    <t>ISC</t>
  </si>
  <si>
    <t>3000</t>
  </si>
  <si>
    <t>Impuesto a la Renta</t>
  </si>
  <si>
    <t>TOX</t>
  </si>
  <si>
    <t>7152</t>
  </si>
  <si>
    <t>Impuesto al Consumo de las bolsas de plástico</t>
  </si>
  <si>
    <t>OTH</t>
  </si>
  <si>
    <t>ICBPER</t>
  </si>
  <si>
    <t>9995</t>
  </si>
  <si>
    <t>Exportación</t>
  </si>
  <si>
    <t>FRE</t>
  </si>
  <si>
    <t>EXP</t>
  </si>
  <si>
    <t>9996</t>
  </si>
  <si>
    <t>Gratuito</t>
  </si>
  <si>
    <t>GRA</t>
  </si>
  <si>
    <t>9997</t>
  </si>
  <si>
    <t>Exonerado</t>
  </si>
  <si>
    <t>EXO</t>
  </si>
  <si>
    <t>9998</t>
  </si>
  <si>
    <t>Inafecto</t>
  </si>
  <si>
    <t>INA</t>
  </si>
  <si>
    <t>9999</t>
  </si>
  <si>
    <t>Otros tributos</t>
  </si>
  <si>
    <t>OTROS</t>
  </si>
  <si>
    <t>active</t>
  </si>
  <si>
    <t>0</t>
  </si>
  <si>
    <t>DOC.TRIB.NO.DOM.SIN.RUC</t>
  </si>
  <si>
    <t>True</t>
  </si>
  <si>
    <t>1</t>
  </si>
  <si>
    <t>Documento Nacional de Identidad</t>
  </si>
  <si>
    <t>4</t>
  </si>
  <si>
    <t>Carnet de extranjería</t>
  </si>
  <si>
    <t>6</t>
  </si>
  <si>
    <t>Registro Unico de Contributentes</t>
  </si>
  <si>
    <t>7</t>
  </si>
  <si>
    <t>Pasaporte</t>
  </si>
  <si>
    <t>A</t>
  </si>
  <si>
    <t>Cédula Diplomática de identidad</t>
  </si>
  <si>
    <t>B</t>
  </si>
  <si>
    <t>DOC.IDENT.PAIS.RESIDENCIA-NO.D</t>
  </si>
  <si>
    <t>False</t>
  </si>
  <si>
    <t>C</t>
  </si>
  <si>
    <t>Tax Identification Number - TIN – Doc Trib PP.NN</t>
  </si>
  <si>
    <t>D</t>
  </si>
  <si>
    <t>Identification Number - IN – Doc Trib PP. JJ</t>
  </si>
  <si>
    <t>E</t>
  </si>
  <si>
    <t xml:space="preserve">TAM- Tarjeta Andina de Migración </t>
  </si>
  <si>
    <t>10</t>
  </si>
  <si>
    <t>Gravado - Operación Onerosa</t>
  </si>
  <si>
    <t>11</t>
  </si>
  <si>
    <t>Gravado – Retiro por premio</t>
  </si>
  <si>
    <t>Gravado – Retiro por donación</t>
  </si>
  <si>
    <t xml:space="preserve">Gravado – Retiro </t>
  </si>
  <si>
    <t>14</t>
  </si>
  <si>
    <t>Gravado – Retiro por publicidad</t>
  </si>
  <si>
    <t>15</t>
  </si>
  <si>
    <t>Gravado – Bonificaciones</t>
  </si>
  <si>
    <t>16</t>
  </si>
  <si>
    <t>Gravado – Retiro por entrega a trabajadores</t>
  </si>
  <si>
    <t>17</t>
  </si>
  <si>
    <t>Gravado - IVAP</t>
  </si>
  <si>
    <t>1016 o 9996</t>
  </si>
  <si>
    <t>Exonerado - Operación Onerosa</t>
  </si>
  <si>
    <t>21</t>
  </si>
  <si>
    <t>Exonerado - Transferencia gratuita</t>
  </si>
  <si>
    <t>30</t>
  </si>
  <si>
    <t>Inafecto - Operación Onerosa</t>
  </si>
  <si>
    <t>Inafecto – Retiro por Bonificación</t>
  </si>
  <si>
    <t>32</t>
  </si>
  <si>
    <t>Inafecto – Retiro</t>
  </si>
  <si>
    <t>33</t>
  </si>
  <si>
    <t>Inafecto – Retiro por Muestras Médicas</t>
  </si>
  <si>
    <t>34</t>
  </si>
  <si>
    <t>Inafecto - Retiro por Convenio Colectivo</t>
  </si>
  <si>
    <t>35</t>
  </si>
  <si>
    <t>Inafecto – Retiro por premio</t>
  </si>
  <si>
    <t>36</t>
  </si>
  <si>
    <t>Inafecto - Retiro por publicidad</t>
  </si>
  <si>
    <t>37</t>
  </si>
  <si>
    <t>Inafecto - Transferencia gratuita</t>
  </si>
  <si>
    <t>Exportación de Bienes o Servicios</t>
  </si>
  <si>
    <t>9995 o 9996</t>
  </si>
  <si>
    <t>rate</t>
  </si>
  <si>
    <t>Sistema al valor (Apéndice IV, lit. A – T.U.O IGV e ISC)</t>
  </si>
  <si>
    <t>02</t>
  </si>
  <si>
    <t>Aplicación del Monto Fijo ( Sistema específico, bienes en el apéndice III, Apéndice IV, lit. B – T.U.O IGV e ISC)</t>
  </si>
  <si>
    <t>Sistema de Precios de Venta al Público (Apéndice IV, lit. C – T.U.O IGV e ISC)</t>
  </si>
  <si>
    <t>Anulación de la operación</t>
  </si>
  <si>
    <t>Anulación por error en el RUC</t>
  </si>
  <si>
    <t>Corrección por error en la descripción</t>
  </si>
  <si>
    <t>04</t>
  </si>
  <si>
    <t>Descuento global</t>
  </si>
  <si>
    <t>05</t>
  </si>
  <si>
    <t>Descuento por ítem</t>
  </si>
  <si>
    <t>Devolución total</t>
  </si>
  <si>
    <t>Devolución por ítem</t>
  </si>
  <si>
    <t>Bonificación</t>
  </si>
  <si>
    <t>Disminución en el valor</t>
  </si>
  <si>
    <t xml:space="preserve">Otros Conceptos </t>
  </si>
  <si>
    <t>Ajustes de operaciones de exportación</t>
  </si>
  <si>
    <t>Ajustes afectos al IVAP</t>
  </si>
  <si>
    <t>Corrección del monto neto pendiente de pago y/o la(s) fechas(s) de vencimiento del pago</t>
  </si>
  <si>
    <t>Intereses por mora</t>
  </si>
  <si>
    <t>Aumento en el valor</t>
  </si>
  <si>
    <t xml:space="preserve">Penalidades/ otros conceptos </t>
  </si>
  <si>
    <t>Gravado</t>
  </si>
  <si>
    <t>Gratuitas</t>
  </si>
  <si>
    <t>Factura – emitida para corregir error en el RUC</t>
  </si>
  <si>
    <t>Factura – emitida por anticipos</t>
  </si>
  <si>
    <t>Boleta de Venta – emitida por anticipos</t>
  </si>
  <si>
    <t xml:space="preserve">Ticket de Salida - ENAPU </t>
  </si>
  <si>
    <t>Código SCOP</t>
  </si>
  <si>
    <t>Factura electrónica remitente</t>
  </si>
  <si>
    <t>Guia de remisión remitente</t>
  </si>
  <si>
    <t xml:space="preserve">Declaración de salida del depósito franco </t>
  </si>
  <si>
    <t xml:space="preserve">Declaración simplificada de importación </t>
  </si>
  <si>
    <t>Liquidación de compra - emitida por anticipos</t>
  </si>
  <si>
    <t>99</t>
  </si>
  <si>
    <t>Otros</t>
  </si>
  <si>
    <t>Total valor de venta - operaciones exportadas</t>
  </si>
  <si>
    <t>1001</t>
  </si>
  <si>
    <t>Total valor de venta - operaciones gravadas</t>
  </si>
  <si>
    <t>1002</t>
  </si>
  <si>
    <t>Total valor de venta - operaciones inafectas</t>
  </si>
  <si>
    <t>1003</t>
  </si>
  <si>
    <t>Total valor de venta - operaciones exoneradas</t>
  </si>
  <si>
    <t>1004</t>
  </si>
  <si>
    <t>Total valor de venta – Operaciones gratuitas</t>
  </si>
  <si>
    <t>1005</t>
  </si>
  <si>
    <t>Sub total de venta</t>
  </si>
  <si>
    <t>2001</t>
  </si>
  <si>
    <t>Percepciones</t>
  </si>
  <si>
    <t>2002</t>
  </si>
  <si>
    <t>Retenciones</t>
  </si>
  <si>
    <t>2003</t>
  </si>
  <si>
    <t>Detracciones</t>
  </si>
  <si>
    <t>2004</t>
  </si>
  <si>
    <t>Bonificaciones</t>
  </si>
  <si>
    <t>2005</t>
  </si>
  <si>
    <t>Total descuentos</t>
  </si>
  <si>
    <t>3001</t>
  </si>
  <si>
    <t>FISE (Ley 29852) Fondo Inclusión Social Energético</t>
  </si>
  <si>
    <t>Monto en Letras</t>
  </si>
  <si>
    <t>TRANSFERENCIA GRATUITA DE UN BIEN Y/O SERVICIO PRESTADO GRATUITAMENTE</t>
  </si>
  <si>
    <t>Leyenda "TRANSFERENCIA GRATUITA DE UN BIEN Y/O SERVICIO PRESTADO GRATUITAMENTE"</t>
  </si>
  <si>
    <t>COMPROBANTE DE PERCEPCIÓN</t>
  </si>
  <si>
    <t>Leyenda “COMPROBANTE DE PERCEPCIÓN”</t>
  </si>
  <si>
    <t>BIENES TRANSFERIDOS EN LA AMAZONÍA REGIÓN SELVAPARA SER CONSUMIDOS EN LA MISMA</t>
  </si>
  <si>
    <t>Leyenda “BIENES TRANSFERIDOS EN LA AMAZONÍA REGIÓN SELVAPARA SER CONSUMIDOS EN LA MISMA"</t>
  </si>
  <si>
    <t>SERVICIOS PRESTADOS EN LA AMAZONÍA  REGIÓN SELVA PARA SER CONSUMIDOS EN LA MISMA</t>
  </si>
  <si>
    <t>Leyenda “SERVICIOS PRESTADOS EN LA AMAZONÍA  REGIÓN SELVA PARA SER CONSUMIDOS EN LA MISMA”</t>
  </si>
  <si>
    <t>CONTRATOS DE CONSTRUCCIÓN EJECUTADOS  EN LA AMAZONÍA REGIÓN SELVA</t>
  </si>
  <si>
    <t>Leyenda “CONTRATOS DE CONSTRUCCIÓN EJECUTADOS  EN LA AMAZONÍA REGIÓN SELVA”</t>
  </si>
  <si>
    <t>Agencia de Viaje - Paquete turístico”</t>
  </si>
  <si>
    <t xml:space="preserve">Leyenda “Agencia de Viaje - Paquete turístico” </t>
  </si>
  <si>
    <t>Venta realizada por emisor itinerante</t>
  </si>
  <si>
    <t xml:space="preserve">Leyenda “Venta realizada por emisor itinerante” </t>
  </si>
  <si>
    <t>2006</t>
  </si>
  <si>
    <t>Operación sujeta a detracción</t>
  </si>
  <si>
    <r>
      <rPr>
        <sz val="10"/>
        <rFont val="Arial"/>
        <family val="2"/>
        <charset val="1"/>
      </rPr>
      <t xml:space="preserve">Leyenda: </t>
    </r>
    <r>
      <rPr>
        <sz val="10"/>
        <color rgb="FF000000"/>
        <rFont val="Calibri"/>
        <family val="2"/>
        <charset val="1"/>
      </rPr>
      <t>Operación sujeta a detracción</t>
    </r>
  </si>
  <si>
    <t>2007</t>
  </si>
  <si>
    <t>Operación sujeta a IVAP</t>
  </si>
  <si>
    <t>Leyenda: Operación sujeta a IVAP</t>
  </si>
  <si>
    <t>2010</t>
  </si>
  <si>
    <t>Restitución Simplificado de Derechos Arancelarios</t>
  </si>
  <si>
    <r>
      <rPr>
        <sz val="10"/>
        <rFont val="Arial"/>
        <family val="2"/>
        <charset val="1"/>
      </rPr>
      <t xml:space="preserve">Detracciones: </t>
    </r>
    <r>
      <rPr>
        <sz val="10"/>
        <color rgb="FF000000"/>
        <rFont val="Calibri"/>
        <family val="2"/>
        <charset val="1"/>
      </rPr>
      <t>CODIGO DE BB Y SS SUJETOS A DETRACCION</t>
    </r>
  </si>
  <si>
    <r>
      <rPr>
        <sz val="10"/>
        <rFont val="Arial"/>
        <family val="2"/>
        <charset val="1"/>
      </rPr>
      <t xml:space="preserve">Detracciones: </t>
    </r>
    <r>
      <rPr>
        <sz val="10"/>
        <color rgb="FF000000"/>
        <rFont val="Calibri"/>
        <family val="2"/>
        <charset val="1"/>
      </rPr>
      <t>NUMERO DE CTA EN EL BN</t>
    </r>
  </si>
  <si>
    <t>3002</t>
  </si>
  <si>
    <r>
      <rPr>
        <sz val="10"/>
        <rFont val="Arial"/>
        <family val="2"/>
        <charset val="1"/>
      </rPr>
      <t xml:space="preserve">Detracciones: </t>
    </r>
    <r>
      <rPr>
        <sz val="10"/>
        <color rgb="FF000000"/>
        <rFont val="Calibri"/>
        <family val="2"/>
        <charset val="1"/>
      </rPr>
      <t>Recursos Hidrobiológicos-Nombre y matrícula de la embarcación</t>
    </r>
  </si>
  <si>
    <t>3003</t>
  </si>
  <si>
    <r>
      <rPr>
        <sz val="10"/>
        <rFont val="Arial"/>
        <family val="2"/>
        <charset val="1"/>
      </rPr>
      <t xml:space="preserve">Detracciones: </t>
    </r>
    <r>
      <rPr>
        <sz val="10"/>
        <color rgb="FF000000"/>
        <rFont val="Calibri"/>
        <family val="2"/>
        <charset val="1"/>
      </rPr>
      <t>Recursos Hidrobiológicos-Tipo y cantidad de especie vendida</t>
    </r>
  </si>
  <si>
    <t>3004</t>
  </si>
  <si>
    <r>
      <rPr>
        <sz val="10"/>
        <rFont val="Arial"/>
        <family val="2"/>
        <charset val="1"/>
      </rPr>
      <t xml:space="preserve">Detracciones: </t>
    </r>
    <r>
      <rPr>
        <sz val="10"/>
        <color rgb="FF000000"/>
        <rFont val="Calibri"/>
        <family val="2"/>
        <charset val="1"/>
      </rPr>
      <t>Recursos Hidrobiológicos -Lugar de descarga</t>
    </r>
  </si>
  <si>
    <t>3005</t>
  </si>
  <si>
    <r>
      <rPr>
        <sz val="10"/>
        <rFont val="Arial"/>
        <family val="2"/>
        <charset val="1"/>
      </rPr>
      <t xml:space="preserve">Detracciones: </t>
    </r>
    <r>
      <rPr>
        <sz val="10"/>
        <color rgb="FF000000"/>
        <rFont val="Calibri"/>
        <family val="2"/>
        <charset val="1"/>
      </rPr>
      <t>Recursos Hidrobiológicos -Fecha de descarga</t>
    </r>
  </si>
  <si>
    <t>3006</t>
  </si>
  <si>
    <r>
      <rPr>
        <sz val="10"/>
        <rFont val="Arial"/>
        <family val="2"/>
        <charset val="1"/>
      </rPr>
      <t xml:space="preserve">Detracciones: </t>
    </r>
    <r>
      <rPr>
        <sz val="10"/>
        <color rgb="FF000000"/>
        <rFont val="Calibri"/>
        <family val="2"/>
        <charset val="1"/>
      </rPr>
      <t>Transporte Bienes vía terrestre – Numero Registro MTC</t>
    </r>
  </si>
  <si>
    <t>3007</t>
  </si>
  <si>
    <r>
      <rPr>
        <sz val="10"/>
        <rFont val="Arial"/>
        <family val="2"/>
        <charset val="1"/>
      </rPr>
      <t xml:space="preserve">Detracciones: </t>
    </r>
    <r>
      <rPr>
        <sz val="10"/>
        <color rgb="FF000000"/>
        <rFont val="Calibri"/>
        <family val="2"/>
        <charset val="1"/>
      </rPr>
      <t>Transporte Bienes vía terrestre – configuración vehicular</t>
    </r>
  </si>
  <si>
    <t>3008</t>
  </si>
  <si>
    <r>
      <rPr>
        <sz val="10"/>
        <rFont val="Arial"/>
        <family val="2"/>
        <charset val="1"/>
      </rPr>
      <t xml:space="preserve">Detracciones: </t>
    </r>
    <r>
      <rPr>
        <sz val="10"/>
        <color rgb="FF000000"/>
        <rFont val="Calibri"/>
        <family val="2"/>
        <charset val="1"/>
      </rPr>
      <t>Transporte Bienes vía terrestre – punto de origen</t>
    </r>
  </si>
  <si>
    <t>3009</t>
  </si>
  <si>
    <r>
      <rPr>
        <sz val="10"/>
        <rFont val="Arial"/>
        <family val="2"/>
        <charset val="1"/>
      </rPr>
      <t xml:space="preserve">Detracciones: </t>
    </r>
    <r>
      <rPr>
        <sz val="10"/>
        <color rgb="FF000000"/>
        <rFont val="Calibri"/>
        <family val="2"/>
        <charset val="1"/>
      </rPr>
      <t>Transporte Bienes vía terrestre – punto destino</t>
    </r>
  </si>
  <si>
    <t>3010</t>
  </si>
  <si>
    <r>
      <rPr>
        <sz val="10"/>
        <rFont val="Arial"/>
        <family val="2"/>
        <charset val="1"/>
      </rPr>
      <t xml:space="preserve">Detracciones: </t>
    </r>
    <r>
      <rPr>
        <sz val="10"/>
        <color rgb="FF000000"/>
        <rFont val="Calibri"/>
        <family val="2"/>
        <charset val="1"/>
      </rPr>
      <t>Transporte Bienes vía terrestre – valor referencial preliminar</t>
    </r>
  </si>
  <si>
    <t>4000</t>
  </si>
  <si>
    <t>Beneficio hospedajes: Código País de emisión del pasaporte</t>
  </si>
  <si>
    <t>4001</t>
  </si>
  <si>
    <t>Beneficio hospedajes: Código País de residencia del sujeto no domiciliado</t>
  </si>
  <si>
    <t>4002</t>
  </si>
  <si>
    <t xml:space="preserve">Beneficio Hospedajes: Fecha de ingreso al país </t>
  </si>
  <si>
    <t>4003</t>
  </si>
  <si>
    <t>Beneficio Hospedajes: Fecha de ingreso al establecimiento</t>
  </si>
  <si>
    <t>4004</t>
  </si>
  <si>
    <t>Beneficio Hospedajes: Fecha de salida del establecimiento</t>
  </si>
  <si>
    <t>4005</t>
  </si>
  <si>
    <t>Beneficio Hospedajes: Número de días de permanencia</t>
  </si>
  <si>
    <t>4006</t>
  </si>
  <si>
    <t xml:space="preserve">Beneficio Hospedajes: Fecha de consumo </t>
  </si>
  <si>
    <t>4007</t>
  </si>
  <si>
    <t xml:space="preserve">Beneficio Hospedajes: Paquete turístico - Nombres y Apellidos del Huésped </t>
  </si>
  <si>
    <t>4008</t>
  </si>
  <si>
    <t xml:space="preserve">Beneficio Hospedajes: Paquete turístico – Tipo documento identidad del huésped  </t>
  </si>
  <si>
    <t>4009</t>
  </si>
  <si>
    <t xml:space="preserve">Beneficio Hospedajes: Paquete turístico – Numero de documento identidad de huésped </t>
  </si>
  <si>
    <t>5000</t>
  </si>
  <si>
    <t>Proveedores Estado: Número de Expediente</t>
  </si>
  <si>
    <t>5001</t>
  </si>
  <si>
    <t>Proveedores Estado : Código de unidad ejecutora</t>
  </si>
  <si>
    <t>5002</t>
  </si>
  <si>
    <t>Proveedores Estado : N° de proceso de selección</t>
  </si>
  <si>
    <t>5003</t>
  </si>
  <si>
    <t>Proveedores Estado : N° de contrato</t>
  </si>
  <si>
    <t>6000</t>
  </si>
  <si>
    <t>Comercialización de Oro :  Código Unico Concesión Minera</t>
  </si>
  <si>
    <t>6001</t>
  </si>
  <si>
    <t>Comercialización de Oro :  N° declaración compromiso</t>
  </si>
  <si>
    <t>6002</t>
  </si>
  <si>
    <t>Comercialización de Oro :  N° Reg. Especial .Comerci. Oro</t>
  </si>
  <si>
    <t>6003</t>
  </si>
  <si>
    <t>Comercialización de Oro :  N° Resolución que autoriza Planta de Beneficio</t>
  </si>
  <si>
    <t>6004</t>
  </si>
  <si>
    <t>Comercialización de Oro : Ley Mineral (% concent. oro)</t>
  </si>
  <si>
    <t>6005</t>
  </si>
  <si>
    <t>Comercialización de Oro : Naturaleza del mineral</t>
  </si>
  <si>
    <t>6006</t>
  </si>
  <si>
    <t>Comercialización de Oro : Nombre del derecho minero</t>
  </si>
  <si>
    <t>7000</t>
  </si>
  <si>
    <t>Primera venta de mercancia identificable entre usuarios de la zona comercial</t>
  </si>
  <si>
    <t>7001</t>
  </si>
  <si>
    <t>Venta exonerada del IGV-ISC-IPM. Prohibida la venta fuera de la zona comercial de Tacna</t>
  </si>
  <si>
    <t>Precio unitario (incluye el IGV)</t>
  </si>
  <si>
    <t>Valor referencial unitario en operaciones no onerosas (Gratuitas)</t>
  </si>
  <si>
    <t>Tarifas reguladas</t>
  </si>
  <si>
    <t>Venta lnterna</t>
  </si>
  <si>
    <t>Exportación de bienes</t>
  </si>
  <si>
    <t>No Domiciliados</t>
  </si>
  <si>
    <t>Venta Interna – Anticipos</t>
  </si>
  <si>
    <t xml:space="preserve">Venta Itinerante </t>
  </si>
  <si>
    <t>Factura Guía</t>
  </si>
  <si>
    <t>Venta Arroz Pilado</t>
  </si>
  <si>
    <t>Factura - Comprobante de Percepción</t>
  </si>
  <si>
    <t>Factura - Guía remitente</t>
  </si>
  <si>
    <t>Factura - Guía transportista</t>
  </si>
  <si>
    <t>Boleta de venta – Comprobante de Percepción.</t>
  </si>
  <si>
    <t>Gasto Deducible Persona Natural</t>
  </si>
  <si>
    <t>Exportación de servicios – prestación de servicios de hospedaje No Dom</t>
  </si>
  <si>
    <t>Exportación de servicios – Transporte de navieras</t>
  </si>
  <si>
    <t>Exportación de servicios – servicios  a naves y aeronaves de bandera extranjera</t>
  </si>
  <si>
    <t>Exportación de servicios – RES</t>
  </si>
  <si>
    <t>Exportación de servicios  - Servicios que conformen un Paquete Turístico</t>
  </si>
  <si>
    <t>19</t>
  </si>
  <si>
    <t>Exportación de servicios – Servicios complementarios al transporte de carga</t>
  </si>
  <si>
    <t>Exportación de servicios – Suministro de energía eléctrica a favor de sujetos domiciliados en ZED</t>
  </si>
  <si>
    <t>Exportación de servicios – Prestación servicios realizados parcialmente en el extranjero</t>
  </si>
  <si>
    <t>Transporte público</t>
  </si>
  <si>
    <t>Transporte privado</t>
  </si>
  <si>
    <t xml:space="preserve"> Adicionar</t>
  </si>
  <si>
    <t>2</t>
  </si>
  <si>
    <t xml:space="preserve"> Modificar</t>
  </si>
  <si>
    <t>3</t>
  </si>
  <si>
    <t xml:space="preserve"> Anulado</t>
  </si>
  <si>
    <t>Venta</t>
  </si>
  <si>
    <t>Compra</t>
  </si>
  <si>
    <t>Venta con entrega a terceros</t>
  </si>
  <si>
    <t>Traslado entre establecimientos de la misma empresa</t>
  </si>
  <si>
    <t>Consignación</t>
  </si>
  <si>
    <t>Devolución</t>
  </si>
  <si>
    <t>Recojo de bienes transformados</t>
  </si>
  <si>
    <t>Importación</t>
  </si>
  <si>
    <t xml:space="preserve">Venta sujeta a confirmación del comprador   </t>
  </si>
  <si>
    <t>Traslado de bienes para transformación</t>
  </si>
  <si>
    <t>Traslado emisor itinerante CP</t>
  </si>
  <si>
    <t>Traslado a zona primaria</t>
  </si>
  <si>
    <t>Numeración DAM</t>
  </si>
  <si>
    <t>Número de orden de entrega</t>
  </si>
  <si>
    <t>Número SCOP</t>
  </si>
  <si>
    <t>Número de manifiesto de carga</t>
  </si>
  <si>
    <t>Número de constancia de detracción</t>
  </si>
  <si>
    <t>percent</t>
  </si>
  <si>
    <t>Percepción Venta Interna</t>
  </si>
  <si>
    <t>Percepción a la adquisición de combustible</t>
  </si>
  <si>
    <t>Percepción realizada al agente de percepción con tasa especial</t>
  </si>
  <si>
    <t>Tasa 3%</t>
  </si>
  <si>
    <t>Tasa 6%</t>
  </si>
  <si>
    <t>L001</t>
  </si>
  <si>
    <t>LUZ</t>
  </si>
  <si>
    <t>L002</t>
  </si>
  <si>
    <t>MT2</t>
  </si>
  <si>
    <t>L003</t>
  </si>
  <si>
    <t>MT3</t>
  </si>
  <si>
    <t>L004</t>
  </si>
  <si>
    <t>MT4</t>
  </si>
  <si>
    <t>L005</t>
  </si>
  <si>
    <t>BT2</t>
  </si>
  <si>
    <t>L006</t>
  </si>
  <si>
    <t>BT3</t>
  </si>
  <si>
    <t>L007</t>
  </si>
  <si>
    <t>BT4</t>
  </si>
  <si>
    <t>L008</t>
  </si>
  <si>
    <t>BT5A</t>
  </si>
  <si>
    <t>L009</t>
  </si>
  <si>
    <t>BT5B NO RESIDENCIAL</t>
  </si>
  <si>
    <t>L010</t>
  </si>
  <si>
    <t>BT6</t>
  </si>
  <si>
    <t>L011</t>
  </si>
  <si>
    <t>BT5C-AP</t>
  </si>
  <si>
    <t>L012</t>
  </si>
  <si>
    <t>BT5D</t>
  </si>
  <si>
    <t>L013</t>
  </si>
  <si>
    <t>BT5E</t>
  </si>
  <si>
    <t>L014</t>
  </si>
  <si>
    <t>BT7</t>
  </si>
  <si>
    <t>L015</t>
  </si>
  <si>
    <t>BT8</t>
  </si>
  <si>
    <t>A011</t>
  </si>
  <si>
    <t>COMERCIAL</t>
  </si>
  <si>
    <t>AGUA</t>
  </si>
  <si>
    <t>A012</t>
  </si>
  <si>
    <t>INDUSTRIAL</t>
  </si>
  <si>
    <t>A014</t>
  </si>
  <si>
    <t>DOMÉSTICO</t>
  </si>
  <si>
    <t>A015</t>
  </si>
  <si>
    <t>SOCIAL</t>
  </si>
  <si>
    <t>G001</t>
  </si>
  <si>
    <t>CAT – A1</t>
  </si>
  <si>
    <t>GAS</t>
  </si>
  <si>
    <t>G002</t>
  </si>
  <si>
    <t>CAT – A2</t>
  </si>
  <si>
    <t>G003</t>
  </si>
  <si>
    <t>CAT – B</t>
  </si>
  <si>
    <t>G004</t>
  </si>
  <si>
    <t>CAT - C</t>
  </si>
  <si>
    <t>G005</t>
  </si>
  <si>
    <t>CAT – D</t>
  </si>
  <si>
    <t>G006</t>
  </si>
  <si>
    <t>CAT – E</t>
  </si>
  <si>
    <t>G007</t>
  </si>
  <si>
    <t>CAT – GE</t>
  </si>
  <si>
    <t>G008</t>
  </si>
  <si>
    <t>CAT – IP</t>
  </si>
  <si>
    <t>G009</t>
  </si>
  <si>
    <t>CAT – GNV</t>
  </si>
  <si>
    <t>Sin información</t>
  </si>
  <si>
    <t xml:space="preserve">Si es construcción /adquisición </t>
  </si>
  <si>
    <t>Si es para refacción, remodelación, ampliación, mejoramiento o subdivisión de vivienda propia.</t>
  </si>
  <si>
    <t>Sin indicador</t>
  </si>
  <si>
    <t>Calificado para crédito Mi Vivienda / Techo Propio</t>
  </si>
  <si>
    <t>Libre disposición de la AFP</t>
  </si>
  <si>
    <t>Calificado como primera vivienda de acuerdo a la información proporcionada por el cliente (para créditos otorgados a partir del 01.01.2013)</t>
  </si>
  <si>
    <t>0101</t>
  </si>
  <si>
    <t>Venta interna</t>
  </si>
  <si>
    <t>Factura, Boletas</t>
  </si>
  <si>
    <t>0102</t>
  </si>
  <si>
    <t>0103</t>
  </si>
  <si>
    <t>Venta interna – Itinerante</t>
  </si>
  <si>
    <t>0110</t>
  </si>
  <si>
    <t>Venta Interna - Sustenta Traslado de Mercadería – Remitente</t>
  </si>
  <si>
    <t>0111</t>
  </si>
  <si>
    <t>Venta Interna - Sustenta Traslado de Mercadería – Transportista</t>
  </si>
  <si>
    <t>0112</t>
  </si>
  <si>
    <t>Venta Interna - Sustenta Gastos Deducibles Persona Natural</t>
  </si>
  <si>
    <t>Factura </t>
  </si>
  <si>
    <t>0113</t>
  </si>
  <si>
    <t>Venta Interna-NRUS</t>
  </si>
  <si>
    <t>Boleta</t>
  </si>
  <si>
    <t>0120</t>
  </si>
  <si>
    <t>Venta Interna - Sujeta al IVAP</t>
  </si>
  <si>
    <t>0121</t>
  </si>
  <si>
    <t>Venta Interna - Sujeta al FISE</t>
  </si>
  <si>
    <t>Todos</t>
  </si>
  <si>
    <t>0122</t>
  </si>
  <si>
    <t xml:space="preserve">Venta Interna - Sujeta a otros impuestos </t>
  </si>
  <si>
    <t>0130</t>
  </si>
  <si>
    <t>Venta Interna - Realizadas al Estado</t>
  </si>
  <si>
    <t>0200</t>
  </si>
  <si>
    <t>Exportación de Bienes</t>
  </si>
  <si>
    <t>0201</t>
  </si>
  <si>
    <t>Exportación de Servicios – Prestación servicios realizados íntegramente en el país</t>
  </si>
  <si>
    <t>0202</t>
  </si>
  <si>
    <t>Exportación de Servicios – Prestación de servicios de hospedaje No Domiciliado</t>
  </si>
  <si>
    <r>
      <rPr>
        <sz val="10"/>
        <rFont val="Arial"/>
        <family val="2"/>
        <charset val="1"/>
      </rPr>
      <t xml:space="preserve">Factura, </t>
    </r>
    <r>
      <rPr>
        <strike/>
        <sz val="10"/>
        <color rgb="FF000000"/>
        <rFont val="Calibri"/>
        <family val="2"/>
        <charset val="1"/>
      </rPr>
      <t>Boletas</t>
    </r>
  </si>
  <si>
    <t>0203</t>
  </si>
  <si>
    <t>Exportación de Servicios – Transporte de navieras</t>
  </si>
  <si>
    <t>0204</t>
  </si>
  <si>
    <t>Exportación de Servicios – Servicios  a naves y aeronaves de bandera extranjera</t>
  </si>
  <si>
    <t>0205</t>
  </si>
  <si>
    <t>Exportación de Servicios  - Servicios que conformen un Paquete Turístico</t>
  </si>
  <si>
    <t>0206</t>
  </si>
  <si>
    <t>Exportación de Servicios – Servicios complementarios al transporte de carga</t>
  </si>
  <si>
    <t>0207</t>
  </si>
  <si>
    <t>Exportación de Servicios – Suministro de energía eléctrica a favor de sujetos domiciliados en ZED</t>
  </si>
  <si>
    <t>0208</t>
  </si>
  <si>
    <t>Exportación de Servicios – Prestación servicios realizados parcialmente en el extranjero</t>
  </si>
  <si>
    <t>0301</t>
  </si>
  <si>
    <t>Operaciones con Carta de porte aéreo (emitidas en el ámbito nacional)</t>
  </si>
  <si>
    <t>0302</t>
  </si>
  <si>
    <t>Operaciones de Transporte ferroviario de pasajeros</t>
  </si>
  <si>
    <t>0303</t>
  </si>
  <si>
    <t>Operaciones de Pago de regalía petrolera</t>
  </si>
  <si>
    <t>0401</t>
  </si>
  <si>
    <t>Ventas no domiciliados que no califican como exportación</t>
  </si>
  <si>
    <t>Operación Sujeta a Detracción</t>
  </si>
  <si>
    <t>Operación Sujeta a Detracción- Recursos Hidrobiológicos</t>
  </si>
  <si>
    <t>Operación Sujeta a Detracción- Servicios de Transporte Pasajeros</t>
  </si>
  <si>
    <t>Operación Sujeta a Detracción- Servicios de Transporte Carga</t>
  </si>
  <si>
    <t>Operación Sujeta a Percepción</t>
  </si>
  <si>
    <t>2100</t>
  </si>
  <si>
    <t>Créditos a empresas</t>
  </si>
  <si>
    <t>2101</t>
  </si>
  <si>
    <t>Créditos de consumo revolvente</t>
  </si>
  <si>
    <t>2102</t>
  </si>
  <si>
    <t>Créditos de consumo no revolvente</t>
  </si>
  <si>
    <t>2103</t>
  </si>
  <si>
    <t>Otras operaciones no gravadas - Empresas del sist. financiero y coop. de ahorro y crédito no autorizadas a captar recursos del público</t>
  </si>
  <si>
    <t>2104</t>
  </si>
  <si>
    <t>Otras operaciones no gravadas - Empresas del sistema de seguros</t>
  </si>
  <si>
    <t>BIENES TRANSFERIDOS EN LA AMAZONÍA REGIÓN SELVA PARA SER CONSUMIDOS EN LA MISMA</t>
  </si>
  <si>
    <t>Leyenda “BIENES TRANSFERIDOS EN LA AMAZONÍA REGIÓN SELVA PARA SER CONSUMIDOS EN LA MISMA"</t>
  </si>
  <si>
    <t>Agencia de Viaje - Paquete turístico</t>
  </si>
  <si>
    <r>
      <rPr>
        <sz val="10"/>
        <rFont val="Arial"/>
        <family val="2"/>
        <charset val="1"/>
      </rPr>
      <t>Leyenda</t>
    </r>
    <r>
      <rPr>
        <sz val="10"/>
        <color rgb="FF000000"/>
        <rFont val="Calibri"/>
        <family val="2"/>
        <charset val="1"/>
      </rPr>
      <t xml:space="preserve"> "Operación sujeta a detracción"</t>
    </r>
  </si>
  <si>
    <t>Operación sujeta al IVAP</t>
  </si>
  <si>
    <r>
      <rPr>
        <sz val="10"/>
        <rFont val="Arial"/>
        <family val="2"/>
        <charset val="1"/>
      </rPr>
      <t>Leyenda</t>
    </r>
    <r>
      <rPr>
        <sz val="10"/>
        <color rgb="FF000000"/>
        <rFont val="Calibri"/>
        <family val="2"/>
        <charset val="1"/>
      </rPr>
      <t xml:space="preserve"> "Operación sujeta al IVAP"</t>
    </r>
  </si>
  <si>
    <t>2008</t>
  </si>
  <si>
    <t>VENTA EXONERADA DEL IGV-ISC-IPM. PROHIBIDA LA VENTA FUERA DE LA ZONA COMERCIAL DE TACNA</t>
  </si>
  <si>
    <t>Leyenda: “VENTA EXONERADA DEL IGV-ISC-IPM. PROHIBIDA LA VENTA FUERA DE LA ZONA COMERCIAL DE TACNA”</t>
  </si>
  <si>
    <t>2009</t>
  </si>
  <si>
    <t>PRIMERA VENTA DE MERCANCÍA IDENTIFICABLE ENTRE USUARIOS DE LA ZONA COMERCIAL</t>
  </si>
  <si>
    <t>Leyenda: “PRIMERA VENTA DE MERCANCÍA IDENTIFICABLE ENTRE USUARIOS DE LA ZONA COMERCIAL”</t>
  </si>
  <si>
    <t>Restitucion Simplificado de Derechos Arancelarios</t>
  </si>
  <si>
    <t>2011</t>
  </si>
  <si>
    <t>EXPORTACION DE SERVICIOS - DECRETO LEGISLATIVO Nº 919</t>
  </si>
  <si>
    <t>Leyenda “EXPORTACION DE SERVICIOS - DECRETO LEGISLATIVO Nº 919”</t>
  </si>
  <si>
    <t>00</t>
  </si>
  <si>
    <t>Descuentos que afectan la base imponible del IGV/IVAP</t>
  </si>
  <si>
    <t>Item</t>
  </si>
  <si>
    <t>Descuentos que no afectan la base imponible del IGV/IVAP</t>
  </si>
  <si>
    <t>Descuentos globales que afectan la base imponible del IGV/IVAP</t>
  </si>
  <si>
    <t>Global</t>
  </si>
  <si>
    <t>Descuentos globales que no afectan la base imponible del IGV/IVAP</t>
  </si>
  <si>
    <t xml:space="preserve">Descuentos globales por anticipos gravados que afectan la base imponible del IGV/IVAP </t>
  </si>
  <si>
    <t>Descuentos globales por anticipos exonerados</t>
  </si>
  <si>
    <t>Descuentos globales por anticipos inafectos</t>
  </si>
  <si>
    <t xml:space="preserve">Factor de compensación - Decreto de Urgencia N.° 010-2004 </t>
  </si>
  <si>
    <t>45</t>
  </si>
  <si>
    <t>FISE</t>
  </si>
  <si>
    <t>46</t>
  </si>
  <si>
    <t>Recargo al consumo y/o propinas</t>
  </si>
  <si>
    <t>47</t>
  </si>
  <si>
    <t>Cargos que afectan la base imponible del IGV/IVAP</t>
  </si>
  <si>
    <t>48</t>
  </si>
  <si>
    <t>Cargos que no afectan la base imponible del IGV/IVAP</t>
  </si>
  <si>
    <t>49</t>
  </si>
  <si>
    <t>Cargos globales que afectan la base imponible del IGV/IVAP</t>
  </si>
  <si>
    <t>50</t>
  </si>
  <si>
    <t>Cargos globales que no afectan la base imponible del IGV/IVAP</t>
  </si>
  <si>
    <t>51</t>
  </si>
  <si>
    <t>Percepción venta interna</t>
  </si>
  <si>
    <t>52</t>
  </si>
  <si>
    <t>53</t>
  </si>
  <si>
    <t>54</t>
  </si>
  <si>
    <t>Factor de aportación - Decreto de Urgencia N.° 010 -2004</t>
  </si>
  <si>
    <t>61</t>
  </si>
  <si>
    <t>Retención de renta por anticipos</t>
  </si>
  <si>
    <t>001</t>
  </si>
  <si>
    <t>Azúcar</t>
  </si>
  <si>
    <t>002</t>
  </si>
  <si>
    <t>Arroz</t>
  </si>
  <si>
    <t>003</t>
  </si>
  <si>
    <t>Alcohol etílico</t>
  </si>
  <si>
    <t>Recursos hidrobiológicos</t>
  </si>
  <si>
    <t>005</t>
  </si>
  <si>
    <t>Maíz amarillo duro</t>
  </si>
  <si>
    <t>006</t>
  </si>
  <si>
    <t>Algodón</t>
  </si>
  <si>
    <t>007</t>
  </si>
  <si>
    <t>Caña de azúcar</t>
  </si>
  <si>
    <t>Madera</t>
  </si>
  <si>
    <t>009</t>
  </si>
  <si>
    <t>Arena y piedra.</t>
  </si>
  <si>
    <t>Residuos, subproductos, desechos, recortes y desperdicios</t>
  </si>
  <si>
    <t>011</t>
  </si>
  <si>
    <t>Bienes gravados con el IGV, o renuncia a la exoneración</t>
  </si>
  <si>
    <t>Intermediación laboral y tercerización</t>
  </si>
  <si>
    <t>013</t>
  </si>
  <si>
    <t>Animales vivos</t>
  </si>
  <si>
    <t>014</t>
  </si>
  <si>
    <t>Carnes y despojos comestibles</t>
  </si>
  <si>
    <t>015</t>
  </si>
  <si>
    <t>Abonos, cueros y pieles de origen animal</t>
  </si>
  <si>
    <t>Aceite de pescado</t>
  </si>
  <si>
    <t>017</t>
  </si>
  <si>
    <t>Harina, polvo y “pellets” de pescado, crustáceos, moluscos y demás invertebrados acuáticos</t>
  </si>
  <si>
    <t>018</t>
  </si>
  <si>
    <t>Embarcaciones pesqueras</t>
  </si>
  <si>
    <t>019</t>
  </si>
  <si>
    <t>Arrendamiento de bienes muebles</t>
  </si>
  <si>
    <t>Mantenimiento y reparación de bienes muebles</t>
  </si>
  <si>
    <t>021</t>
  </si>
  <si>
    <t>Movimiento de carga</t>
  </si>
  <si>
    <t>022</t>
  </si>
  <si>
    <t>Otros servicios empresariales</t>
  </si>
  <si>
    <t>023</t>
  </si>
  <si>
    <t>Leche</t>
  </si>
  <si>
    <t>Comisión mercantil</t>
  </si>
  <si>
    <t>025</t>
  </si>
  <si>
    <t>Fabricación de bienes por encargo</t>
  </si>
  <si>
    <t>026</t>
  </si>
  <si>
    <t>Servicio de transporte de personas</t>
  </si>
  <si>
    <t>027</t>
  </si>
  <si>
    <t>Servicio de transporte de carga</t>
  </si>
  <si>
    <t>Transporte de pasajeros</t>
  </si>
  <si>
    <t>029</t>
  </si>
  <si>
    <t>Algodón en rama sin desmontar</t>
  </si>
  <si>
    <t>030</t>
  </si>
  <si>
    <t>Contratos de construcción</t>
  </si>
  <si>
    <t>Oro gravado con el IGV</t>
  </si>
  <si>
    <t>Páprika y otros frutos de los géneros capsicum o pimienta</t>
  </si>
  <si>
    <t>033</t>
  </si>
  <si>
    <t>Espárragos</t>
  </si>
  <si>
    <t>034</t>
  </si>
  <si>
    <t>Minerales metálicos no auríferos</t>
  </si>
  <si>
    <t>035</t>
  </si>
  <si>
    <t>Bienes exonerados del IGV</t>
  </si>
  <si>
    <t>Oro y demás minerales metálicos exonerados del IGV</t>
  </si>
  <si>
    <t>037</t>
  </si>
  <si>
    <t>Demás servicios gravados con el IGV</t>
  </si>
  <si>
    <t>039</t>
  </si>
  <si>
    <t>Minerales no metálicos</t>
  </si>
  <si>
    <t>Bien inmueble gravado con IGV</t>
  </si>
  <si>
    <r>
      <rPr>
        <sz val="10"/>
        <rFont val="Arial"/>
        <family val="2"/>
        <charset val="1"/>
      </rPr>
      <t xml:space="preserve">Detracciones: </t>
    </r>
    <r>
      <rPr>
        <sz val="10"/>
        <color rgb="FF000000"/>
        <rFont val="Calibri"/>
        <family val="2"/>
        <charset val="1"/>
      </rPr>
      <t>Recursos Hidrobiológicos-Matrícula de la embarcación</t>
    </r>
  </si>
  <si>
    <r>
      <rPr>
        <sz val="10"/>
        <rFont val="Arial"/>
        <family val="2"/>
        <charset val="1"/>
      </rPr>
      <t xml:space="preserve">Detracciones: </t>
    </r>
    <r>
      <rPr>
        <sz val="10"/>
        <color rgb="FF000000"/>
        <rFont val="Calibri"/>
        <family val="2"/>
        <charset val="1"/>
      </rPr>
      <t>Recursos Hidrobiológicos-Nombre de la embarcación</t>
    </r>
  </si>
  <si>
    <r>
      <rPr>
        <sz val="10"/>
        <rFont val="Arial"/>
        <family val="2"/>
        <charset val="1"/>
      </rPr>
      <t xml:space="preserve">Detracciones: </t>
    </r>
    <r>
      <rPr>
        <sz val="10"/>
        <color rgb="FF000000"/>
        <rFont val="Calibri"/>
        <family val="2"/>
        <charset val="1"/>
      </rPr>
      <t>Recursos Hidrobiológicos-Tipo de especie vendida</t>
    </r>
  </si>
  <si>
    <r>
      <rPr>
        <sz val="10"/>
        <rFont val="Arial"/>
        <family val="2"/>
        <charset val="1"/>
      </rPr>
      <t xml:space="preserve">Detracciones: </t>
    </r>
    <r>
      <rPr>
        <sz val="10"/>
        <color rgb="FF000000"/>
        <rFont val="Calibri"/>
        <family val="2"/>
        <charset val="1"/>
      </rPr>
      <t>Recursos Hidrobiológicos-Lugar de descarga</t>
    </r>
  </si>
  <si>
    <r>
      <rPr>
        <sz val="10"/>
        <rFont val="Arial"/>
        <family val="2"/>
        <charset val="1"/>
      </rPr>
      <t xml:space="preserve">Detracciones: </t>
    </r>
    <r>
      <rPr>
        <sz val="10"/>
        <color rgb="FF000000"/>
        <rFont val="Calibri"/>
        <family val="2"/>
        <charset val="1"/>
      </rPr>
      <t>Recursos Hidrobiológicos-Fecha de descarga</t>
    </r>
  </si>
  <si>
    <r>
      <rPr>
        <sz val="10"/>
        <rFont val="Arial"/>
        <family val="2"/>
        <charset val="1"/>
      </rPr>
      <t xml:space="preserve">Detracciones: </t>
    </r>
    <r>
      <rPr>
        <sz val="10"/>
        <color rgb="FF000000"/>
        <rFont val="Calibri"/>
        <family val="2"/>
        <charset val="1"/>
      </rPr>
      <t>Recursos Hidrobiológicos-Cantidad de especie vendida</t>
    </r>
  </si>
  <si>
    <t>3050</t>
  </si>
  <si>
    <t>Transportre Terreste - Número de asiento</t>
  </si>
  <si>
    <t>3051</t>
  </si>
  <si>
    <t>Transporte Terrestre - Información de manifiesto de pasajeros</t>
  </si>
  <si>
    <t>3052</t>
  </si>
  <si>
    <t>Transporte Terrestre - Número de documento de identidad del pasajero</t>
  </si>
  <si>
    <t>3053</t>
  </si>
  <si>
    <t>Transporte Terrestre - Tipo de documento de identidad del pasajero</t>
  </si>
  <si>
    <t>3054</t>
  </si>
  <si>
    <t>Transporte Terrestre - Nombres y apellidos del pasajero</t>
  </si>
  <si>
    <t>3055</t>
  </si>
  <si>
    <t>Transporte Terrestre - Ciudad o lugar de destino - Ubigeo</t>
  </si>
  <si>
    <t>3056</t>
  </si>
  <si>
    <t>Transporte Terrestre - Ciudad o lugar de destino - Dirección detallada</t>
  </si>
  <si>
    <t>3057</t>
  </si>
  <si>
    <t>Transporte Terrestre - Ciudad o lugar de origen - Ubigeo</t>
  </si>
  <si>
    <t>3058</t>
  </si>
  <si>
    <t>Transporte Terrestre - Ciudad o lugar de origen - Dirección detallada</t>
  </si>
  <si>
    <t>3059</t>
  </si>
  <si>
    <t>Transporte Terrestre - Fecha de inicio programado</t>
  </si>
  <si>
    <t>3060</t>
  </si>
  <si>
    <t>Transporte Terrestre - Hora de inicio programado</t>
  </si>
  <si>
    <t>Beneficio Hospedajes-Paquete turístico: Código de país de emisión del pasaporte</t>
  </si>
  <si>
    <t>Beneficio Hospedajes: Código de país de residencia del sujeto no domiciliado</t>
  </si>
  <si>
    <t>Beneficio Hospedajes: Fecha de ingreso al país</t>
  </si>
  <si>
    <t>Beneficio Hospedajes: Fecha de Ingreso al Establecimiento</t>
  </si>
  <si>
    <t>Beneficio Hospedajes: Fecha de Salida del Establecimiento</t>
  </si>
  <si>
    <t>Beneficio Hospedajes: Número de Días de Permanencia</t>
  </si>
  <si>
    <t xml:space="preserve">Beneficio Hospedajes: Fecha de Consumo </t>
  </si>
  <si>
    <t xml:space="preserve">Beneficio Hospedajes-Paquete turístico: Nombres y apellidos del huesped </t>
  </si>
  <si>
    <t xml:space="preserve">Beneficio Hospedajes-Paquete turístico: Tipo de documento de identidad del huesped </t>
  </si>
  <si>
    <t xml:space="preserve">Beneficio Hospedajes-Paquete turístico: Número de documento de identidad del huesped </t>
  </si>
  <si>
    <t>4030</t>
  </si>
  <si>
    <t>Carta Porte Aéreo:  Lugar de origen - Código de ubigeo</t>
  </si>
  <si>
    <t>4031</t>
  </si>
  <si>
    <t>Carta Porte Aéreo:  Lugar de origen - Dirección detallada</t>
  </si>
  <si>
    <t>4032</t>
  </si>
  <si>
    <t>Carta Porte Aéreo:  Lugar de destino - Código de ubigeo</t>
  </si>
  <si>
    <t>4033</t>
  </si>
  <si>
    <t>Carta Porte Aéreo:  Lugar de destino - Dirección detallada</t>
  </si>
  <si>
    <t>4040</t>
  </si>
  <si>
    <t>BVME transporte ferroviario: Pasajero - Apellidos y Nombres</t>
  </si>
  <si>
    <t>4041</t>
  </si>
  <si>
    <t>BVME transporte ferroviario: Pasajero - Tipo de documento de identidad</t>
  </si>
  <si>
    <t>4042</t>
  </si>
  <si>
    <t>BVME transporte ferroviario: Servicio transporte: Ciudad o lugar de origen - Código de ubigeo</t>
  </si>
  <si>
    <t>4043</t>
  </si>
  <si>
    <t>BVME transporte ferroviario: Servicio transporte: Ciudad o lugar de origen - Dirección detallada</t>
  </si>
  <si>
    <t>4044</t>
  </si>
  <si>
    <t>BVME transporte ferroviario: Servicio transporte: Ciudad o lugar de destino - Código de ubigeo</t>
  </si>
  <si>
    <t>4045</t>
  </si>
  <si>
    <t>BVME transporte ferroviario: Servicio transporte: Ciudad o lugar de destino - Dirección detallada</t>
  </si>
  <si>
    <t>4046</t>
  </si>
  <si>
    <t>BVME transporte ferroviario: Servicio transporte:Número de asiento</t>
  </si>
  <si>
    <t>4047</t>
  </si>
  <si>
    <t>BVME transporte ferroviario: Servicio transporte: Hora programada de inicio de viaje</t>
  </si>
  <si>
    <t>4048</t>
  </si>
  <si>
    <t>BVME transporte ferroviario: Servicio transporte: Fecha programada de inicio de viaje</t>
  </si>
  <si>
    <t>4049</t>
  </si>
  <si>
    <t>BVME transporte ferroviario: Pasajero - Número de documento de identidad</t>
  </si>
  <si>
    <t>4060</t>
  </si>
  <si>
    <t>Regalía Petrolera: Decreto Supremo de aprobación del contrato</t>
  </si>
  <si>
    <t>4061</t>
  </si>
  <si>
    <t>Regalía Petrolera: Area de contrato (Lote)</t>
  </si>
  <si>
    <t>4062</t>
  </si>
  <si>
    <t>Regalía Petrolera: Periodo de pago - Fecha de inicio</t>
  </si>
  <si>
    <t>4063</t>
  </si>
  <si>
    <t>Regalía Petrolera: Periodo de pago - Fecha de fin</t>
  </si>
  <si>
    <t>4064</t>
  </si>
  <si>
    <t>Regalía Petrolera: Fecha de Pago</t>
  </si>
  <si>
    <t>Proveedores Estado: Código de Unidad Ejecutora</t>
  </si>
  <si>
    <t>Proveedores Estado: N° de Proceso de Selección</t>
  </si>
  <si>
    <t>Proveedores Estado: N° de Contrato</t>
  </si>
  <si>
    <t>5010</t>
  </si>
  <si>
    <t>Número de Placa</t>
  </si>
  <si>
    <t>5011</t>
  </si>
  <si>
    <t>Categoría</t>
  </si>
  <si>
    <t>5012</t>
  </si>
  <si>
    <t>Marca</t>
  </si>
  <si>
    <t>5013</t>
  </si>
  <si>
    <t>Modelo</t>
  </si>
  <si>
    <t>5014</t>
  </si>
  <si>
    <t>Color</t>
  </si>
  <si>
    <t>5015</t>
  </si>
  <si>
    <t>Motor</t>
  </si>
  <si>
    <t>5016</t>
  </si>
  <si>
    <t>Combustible</t>
  </si>
  <si>
    <t>5017</t>
  </si>
  <si>
    <t>Form. Rodante</t>
  </si>
  <si>
    <t>5018</t>
  </si>
  <si>
    <t>VIN</t>
  </si>
  <si>
    <t>5019</t>
  </si>
  <si>
    <t>Serie/Chasis</t>
  </si>
  <si>
    <t>5020</t>
  </si>
  <si>
    <t>Año fabricación</t>
  </si>
  <si>
    <t>5021</t>
  </si>
  <si>
    <t>Año modelo</t>
  </si>
  <si>
    <t>5022</t>
  </si>
  <si>
    <t>Versión</t>
  </si>
  <si>
    <t>5023</t>
  </si>
  <si>
    <t>Ejes</t>
  </si>
  <si>
    <t>5024</t>
  </si>
  <si>
    <t>Asientos</t>
  </si>
  <si>
    <t>5025</t>
  </si>
  <si>
    <t>Pasajeros</t>
  </si>
  <si>
    <t>5026</t>
  </si>
  <si>
    <t>Ruedas</t>
  </si>
  <si>
    <t>5027</t>
  </si>
  <si>
    <t>Carrocería</t>
  </si>
  <si>
    <t>5028</t>
  </si>
  <si>
    <t>Potencia</t>
  </si>
  <si>
    <t>5029</t>
  </si>
  <si>
    <t>Cilindros</t>
  </si>
  <si>
    <t>5030</t>
  </si>
  <si>
    <t>Cilindrada</t>
  </si>
  <si>
    <t>5031</t>
  </si>
  <si>
    <t>Peso Bruto</t>
  </si>
  <si>
    <t>5032</t>
  </si>
  <si>
    <t>Peso Neto</t>
  </si>
  <si>
    <t>5033</t>
  </si>
  <si>
    <t>Carga Útil</t>
  </si>
  <si>
    <t>5034</t>
  </si>
  <si>
    <t>Longitud</t>
  </si>
  <si>
    <t>5035</t>
  </si>
  <si>
    <t>Altura</t>
  </si>
  <si>
    <t>5036</t>
  </si>
  <si>
    <t>Ancho</t>
  </si>
  <si>
    <t>5060</t>
  </si>
  <si>
    <t>Gas Natural - Lectura Anterior</t>
  </si>
  <si>
    <t>5061</t>
  </si>
  <si>
    <t>Gas Natural - Lectura Actual</t>
  </si>
  <si>
    <t>5062</t>
  </si>
  <si>
    <t>Gas Natural - Volumen consumido a Condiciones de lectura</t>
  </si>
  <si>
    <t>5063</t>
  </si>
  <si>
    <t>Gas Natural - Factor de corrección del volumen</t>
  </si>
  <si>
    <t>5064</t>
  </si>
  <si>
    <t>Gas Natural - Volumen a condiciones Estándares</t>
  </si>
  <si>
    <t>5065</t>
  </si>
  <si>
    <t>Gas Natural - Volumen facturado</t>
  </si>
  <si>
    <t>5066</t>
  </si>
  <si>
    <t>Gas Natural - Poder Calorífico Superior Promedio del Gas</t>
  </si>
  <si>
    <t>Comercialización de Oro:  Código Unico Concesión Minera</t>
  </si>
  <si>
    <t>Comercialización de Oro:  N° declaración compromiso</t>
  </si>
  <si>
    <t>Comercialización de Oro:  N° Reg. Especial .Comerci. Oro</t>
  </si>
  <si>
    <t>Comercialización de Oro:  N° Resolución que autoriza Planta de Beneficio</t>
  </si>
  <si>
    <t>Comercialización de Oro: Ley Mineral (% concent. oro)</t>
  </si>
  <si>
    <t>Gastos Art. 37 Renta:  Número de Placa</t>
  </si>
  <si>
    <t>Créditos Hipotecarios: Tipo de préstamo</t>
  </si>
  <si>
    <t>Créditos Hipotecarios: Indicador de Primera Vivienda</t>
  </si>
  <si>
    <t>Créditos Hipotecarios: Partida Registral</t>
  </si>
  <si>
    <t>7004</t>
  </si>
  <si>
    <t>Créditos Hipotecarios: Número de contrato</t>
  </si>
  <si>
    <t>7005</t>
  </si>
  <si>
    <t>Créditos Hipotecarios: Fecha de otorgamiento del crédito</t>
  </si>
  <si>
    <t>7006</t>
  </si>
  <si>
    <t>Créditos Hipotecarios: Dirección del predio - Código de ubigeo</t>
  </si>
  <si>
    <t>7007</t>
  </si>
  <si>
    <t>Créditos Hipotecarios: Dirección del predio - Dirección completa</t>
  </si>
  <si>
    <t>7008</t>
  </si>
  <si>
    <t>Créditos Hipotecarios: Dirección del predio - Urbanización</t>
  </si>
  <si>
    <t>7009</t>
  </si>
  <si>
    <t>Créditos Hipotecarios: Dirección del predio - Provincia</t>
  </si>
  <si>
    <t>7010</t>
  </si>
  <si>
    <t>Créditos Hipotecarios: Dirección del predio - Distrito</t>
  </si>
  <si>
    <t>7011</t>
  </si>
  <si>
    <t>Créditos Hipotecarios: Dirección del predio - Departamento</t>
  </si>
  <si>
    <t>7012</t>
  </si>
  <si>
    <t>Créditos Hipotecarios: Monto del principal</t>
  </si>
  <si>
    <t>7013</t>
  </si>
  <si>
    <t>Empresas del sistema de seguro: Número de póliza</t>
  </si>
  <si>
    <t>7014</t>
  </si>
  <si>
    <t>Empresas del sistema de seguro: Fecha de inicio/término de vigencia de cobertura</t>
  </si>
  <si>
    <t>7015</t>
  </si>
  <si>
    <t>Empresas del sistema de seguro: Tipo de seguro</t>
  </si>
  <si>
    <t>7016</t>
  </si>
  <si>
    <t>Empresas del sistema de seguro: Suma asegurada / alcance de cobertura o monto</t>
  </si>
  <si>
    <t>7020</t>
  </si>
  <si>
    <t>Subpartida nacional</t>
  </si>
  <si>
    <t>7021</t>
  </si>
  <si>
    <t>Numero de declaracion aduanera (DAM)</t>
  </si>
  <si>
    <t>Energía eléctrica</t>
  </si>
  <si>
    <t>Agua</t>
  </si>
  <si>
    <t>Cable</t>
  </si>
  <si>
    <t>Internet</t>
  </si>
  <si>
    <t>Otros servicios regulados por OSIPTEL</t>
  </si>
  <si>
    <t>Gas natural</t>
  </si>
  <si>
    <t>Servicios Portadores</t>
  </si>
  <si>
    <t>Teleservicios o Servicios Finales</t>
  </si>
  <si>
    <t>Servicios de Difusión</t>
  </si>
  <si>
    <t>Servicios de valor añadido</t>
  </si>
  <si>
    <t>Trifásico</t>
  </si>
  <si>
    <t>Monofásico</t>
  </si>
  <si>
    <t>Depósito en cuenta</t>
  </si>
  <si>
    <t>Giro</t>
  </si>
  <si>
    <t>Transferencia de fondos</t>
  </si>
  <si>
    <t>Orden de pago</t>
  </si>
  <si>
    <t>Tarjeta de débito</t>
  </si>
  <si>
    <t xml:space="preserve">Tarjeta de crédito emitida en el país por una empresa del sistema financiero </t>
  </si>
  <si>
    <t>Cheques con la cláusula de "NO NEGOCIABLE", "INTRANSFERIBLES", "NO A LA ORDEN" u otra equivalente, a que se refiere el inciso g) del artículo 5° de la ley</t>
  </si>
  <si>
    <t>Efectivo, por operaciones en las que no existe obligación de utilizar medio de pago</t>
  </si>
  <si>
    <t>Efectivo, en los demás casos</t>
  </si>
  <si>
    <t xml:space="preserve">Medios de pago usados en comercio exterior </t>
  </si>
  <si>
    <t>Documentos emitidos por las EDPYMES y las cooperativas de ahorro y crédito no autorizadas a captar depósitos del público</t>
  </si>
  <si>
    <t>Tarjeta de crédito emitida en el país o en el exterior por una empresa no perteneciente al sistema financiero, cuyo objeto principal sea la emisión y administración de tarjetas de crédito</t>
  </si>
  <si>
    <t>Tarjetas de crédito emitidas en el exterior por empresas bancarias o financieras no domiciliadas</t>
  </si>
  <si>
    <t>101</t>
  </si>
  <si>
    <t>Transferencias – Comercio exterior</t>
  </si>
  <si>
    <t>102</t>
  </si>
  <si>
    <t>Cheques bancarios - Comercio exterior</t>
  </si>
  <si>
    <t>103</t>
  </si>
  <si>
    <t>Orden de pago simple - Comercio exterior</t>
  </si>
  <si>
    <t>Orden de pago documentario - Comercio exterior</t>
  </si>
  <si>
    <t>105</t>
  </si>
  <si>
    <t>Remesa simple - Comercio exterior</t>
  </si>
  <si>
    <t>106</t>
  </si>
  <si>
    <t>Remesa documentaria - Comercio exterior</t>
  </si>
  <si>
    <t>107</t>
  </si>
  <si>
    <t>Carta de crédito simple - Comercio exterior</t>
  </si>
  <si>
    <t>Carta de crédito documentario - Comercio exterior</t>
  </si>
  <si>
    <t>Otros medios de pago</t>
  </si>
  <si>
    <t>Punto de venta</t>
  </si>
  <si>
    <t>Producción</t>
  </si>
  <si>
    <t>Extracción</t>
  </si>
  <si>
    <t>Explotación</t>
  </si>
  <si>
    <t>Factura electrónica o en formatos impresos o importados</t>
  </si>
  <si>
    <t>Boleta de venta electrónica o formatos impresos o importados</t>
  </si>
  <si>
    <t>Liquidación de compra electrónica o emitida en formatos impresos o importados</t>
  </si>
  <si>
    <t>Guía de remisión remitente electrónica o emitida en formatos impresos o importados</t>
  </si>
  <si>
    <t>Ticket o cinta emitido por máquina registradora</t>
  </si>
  <si>
    <t>Guía de remisión transportista electrónica o emitida en formatos impresos o importados</t>
  </si>
  <si>
    <t>Constancia de depósito - IVAP (Ley N.° 28211)</t>
  </si>
  <si>
    <t>Declaración Aduanera de Mercancías</t>
  </si>
  <si>
    <t>Declaración Simplificada</t>
  </si>
  <si>
    <t>80</t>
  </si>
  <si>
    <t>Constancia de depósito – Detracción</t>
  </si>
  <si>
    <t>81</t>
  </si>
  <si>
    <t>Código de autorización emitida por el SCOP</t>
  </si>
  <si>
    <t>82</t>
  </si>
  <si>
    <t>Declaración jurada de mudanza</t>
  </si>
  <si>
    <t>CULTIVO DE CEREALES (EXCEPTO ARROZ), LEGUMBRES Y SEMILLAS OLEAGINOSAS</t>
  </si>
  <si>
    <t>CULTIVO DE ARROZ</t>
  </si>
  <si>
    <t>CULTIVO DE HORTALIZAS Y MELONES, RAÍCES Y TUBÉRCULOS.</t>
  </si>
  <si>
    <t>0114</t>
  </si>
  <si>
    <t>CULTIVO DE CAÑA DE AZÚCAR</t>
  </si>
  <si>
    <t>0115</t>
  </si>
  <si>
    <t>CULTIVO DE TABACO</t>
  </si>
  <si>
    <t>0116</t>
  </si>
  <si>
    <t>CULTIVO DE PLANTAS DE FIBRA</t>
  </si>
  <si>
    <t>0119</t>
  </si>
  <si>
    <t>CULTIVO DE OTRAS PLANTAS NO PERENNES</t>
  </si>
  <si>
    <t>CULTIVO DE UVA</t>
  </si>
  <si>
    <t>CULTIVO DE FRUTAS TROPICALES Y SUBTROPICALES</t>
  </si>
  <si>
    <t>0123</t>
  </si>
  <si>
    <t>CULTIVO DE  CÍTRICOS</t>
  </si>
  <si>
    <t>0124</t>
  </si>
  <si>
    <t>CULTIVO DE FRUTAS DE PEPITA Y DE HUESO</t>
  </si>
  <si>
    <t>0125</t>
  </si>
  <si>
    <t xml:space="preserve">CULTIVO DE OTROS FRUTOS Y NUECES DE ÁRBOLES Y ARBUSTOS </t>
  </si>
  <si>
    <t>0126</t>
  </si>
  <si>
    <t>CULTIVO DE FRUTOS OLEAGINOSOS</t>
  </si>
  <si>
    <t>0127</t>
  </si>
  <si>
    <t>CULTIVO DE PLANTAS CON LAS QUE SE PREPARAN BEBIDAS</t>
  </si>
  <si>
    <t>0128</t>
  </si>
  <si>
    <t>CULTIVO DE ESPECIAS Y DE PLANTAS AROMÁTICAS, MEDICINALES Y FARMACEUTICAS</t>
  </si>
  <si>
    <t>0129</t>
  </si>
  <si>
    <t>PROPAGACIÓN DE PLANTAS</t>
  </si>
  <si>
    <t>0141</t>
  </si>
  <si>
    <t>CRÍA DE GANADO BOVINO Y BÚFALOS</t>
  </si>
  <si>
    <t>0142</t>
  </si>
  <si>
    <t>CRÍA DE CABALLOS Y OTROS EQUINOS</t>
  </si>
  <si>
    <t>0143</t>
  </si>
  <si>
    <t>CRÍA DE CAMELLOS Y OTROS CAMÉLIDOS</t>
  </si>
  <si>
    <t>0144</t>
  </si>
  <si>
    <t>CRÍA DE OVEJAS Y CABRAS</t>
  </si>
  <si>
    <t>0145</t>
  </si>
  <si>
    <t>CRÍA DE CERDOS</t>
  </si>
  <si>
    <t>0146</t>
  </si>
  <si>
    <t>CRÍA DE AVES DE CORRAL</t>
  </si>
  <si>
    <t>0149</t>
  </si>
  <si>
    <t>CRÍA DE OTROS ANIMALES</t>
  </si>
  <si>
    <t>0150</t>
  </si>
  <si>
    <t>CULTIVO DE PRODUCTOS AGRÌCOLAS EN COMBINACIÒN CON LA CRÌA DE ANIMALES</t>
  </si>
  <si>
    <t>0161</t>
  </si>
  <si>
    <t>ACTIVIDADES DE APOYO A LA AGRICULTURA</t>
  </si>
  <si>
    <t>0162</t>
  </si>
  <si>
    <t>ACTIVIDADES DE APOYO A LA GANADERÍA</t>
  </si>
  <si>
    <t>0163</t>
  </si>
  <si>
    <t>ACTIVIDADES POSCOSECHA</t>
  </si>
  <si>
    <t>0164</t>
  </si>
  <si>
    <t>TRATAMIENTO DE SEMILLAS PARA PROPAGACIÓN</t>
  </si>
  <si>
    <t>0170</t>
  </si>
  <si>
    <t>CAZA ORDINARIA Y MEDIANTE TRAMPAS Y ACTIVIDADES DE SERVICIOS CONEXAS</t>
  </si>
  <si>
    <t>0210</t>
  </si>
  <si>
    <t>SILVICULTURA Y OTRAS ACTIVIDADES FORESTALES</t>
  </si>
  <si>
    <t>0220</t>
  </si>
  <si>
    <t>EXTRACCIÓN DE MADERA</t>
  </si>
  <si>
    <t>0230</t>
  </si>
  <si>
    <t>RECOLECCIÓN DE PRODUCTOS FORESTALES DISTINTOS DE LA MADERA</t>
  </si>
  <si>
    <t>0240</t>
  </si>
  <si>
    <t>SERVICIOS DE APOYO A LA SILVICULTURA</t>
  </si>
  <si>
    <t>0311</t>
  </si>
  <si>
    <t>PESCA MARÍTIMA</t>
  </si>
  <si>
    <t>0312</t>
  </si>
  <si>
    <t>PESCA DE AGUA DULCE</t>
  </si>
  <si>
    <t>0321</t>
  </si>
  <si>
    <t>ACUICULTURA MARÍTIMA</t>
  </si>
  <si>
    <t>0322</t>
  </si>
  <si>
    <t>ACUICULTURA DE AGUA DULCE</t>
  </si>
  <si>
    <t>0510</t>
  </si>
  <si>
    <t>EXTRACCIÓN DE CARBÓN DE PIEDRA</t>
  </si>
  <si>
    <t>0520</t>
  </si>
  <si>
    <t>EXTRACCIÓN DE LIGNITO</t>
  </si>
  <si>
    <t>0610</t>
  </si>
  <si>
    <t>EXTRACCIÓN DE PETRÓLEO CRUDO</t>
  </si>
  <si>
    <t>0620</t>
  </si>
  <si>
    <t>EXTRACCIÓN DE GAS NATURAL</t>
  </si>
  <si>
    <t>0710</t>
  </si>
  <si>
    <t>EXTRACCIÓN DE MINERALES DE HIERRO</t>
  </si>
  <si>
    <t>0721</t>
  </si>
  <si>
    <t>EXTRACCIÓN DE MINERALES DE URANIO Y TORIO</t>
  </si>
  <si>
    <t>0729</t>
  </si>
  <si>
    <t>EXTRACCIÓN DE OTROS MINERALES METALÍFEROS NO FERROSOS</t>
  </si>
  <si>
    <t>0810</t>
  </si>
  <si>
    <t>EXTRACCIÓN DE PIEDRA, ARENA Y ARCILLA</t>
  </si>
  <si>
    <t>0891</t>
  </si>
  <si>
    <t>EXTRACCIÓN DE MINERALES PARA LA FABRICACIÓN DE ABONOS Y PRODUCTOS QUÍMICOS</t>
  </si>
  <si>
    <t>0892</t>
  </si>
  <si>
    <t>EXTRACCIÓN DE TURBA</t>
  </si>
  <si>
    <t>0893</t>
  </si>
  <si>
    <t>EXTRACCIÓN DE SAL</t>
  </si>
  <si>
    <t>0899</t>
  </si>
  <si>
    <t>EXPLOTACIÓN DE OTRAS MINAS Y CANTERAS N.C.P.</t>
  </si>
  <si>
    <t>0910</t>
  </si>
  <si>
    <t>ACTIVIDADES DE APOYO PARA LA EXTRACCIÓN DE PETRÓLEO Y GAS NATURAL</t>
  </si>
  <si>
    <t>0990</t>
  </si>
  <si>
    <t>ACTIVIDADES DE APOYO PARA OTRAS ACTIVIDADES DE EXPLOTACIÓN DE MINAS Y CANTERAS</t>
  </si>
  <si>
    <t>1010</t>
  </si>
  <si>
    <t>ELABORACIÒN Y CONSERVACIÓN DE CARNE</t>
  </si>
  <si>
    <t>1020</t>
  </si>
  <si>
    <t>ELABORACIÒN Y CONSERVACIÓN DE PESCADOS, CRUSTÁCEOS Y MOLUSCOS</t>
  </si>
  <si>
    <t>1030</t>
  </si>
  <si>
    <t>ELABORACIÒN Y CONSERVACIÓN DE FRUTAS,LEGUMBRES Y HORTALIZAS</t>
  </si>
  <si>
    <t>1040</t>
  </si>
  <si>
    <t>ELABORACIÓN DE ACEITES Y GRASAS DE ORIGEN VEGETAL Y ANIMAL</t>
  </si>
  <si>
    <t>1050</t>
  </si>
  <si>
    <t>ELABORACIÓN DE PRODUCTOS LÁCTEOS</t>
  </si>
  <si>
    <t>1061</t>
  </si>
  <si>
    <t>ELABORACIÓN DE PRODUCTOS DE MOLINERÍA.</t>
  </si>
  <si>
    <t>1062</t>
  </si>
  <si>
    <t>ELABORACIÓN DE ALMIDONES Y PRODUCTOS DERIVADOS DEL ALMIDÓN.</t>
  </si>
  <si>
    <t>1071</t>
  </si>
  <si>
    <t>ELABORACIÓN DE PRODUCTOS DE PANADERÍA</t>
  </si>
  <si>
    <t>1072</t>
  </si>
  <si>
    <t>ELABORACIÓN DE AZÚCAR</t>
  </si>
  <si>
    <t>1073</t>
  </si>
  <si>
    <t>ELABORACIÓN DE CACAO Y CHOCOLATE Y DE PRODUCTOS DE CONFITERÍA</t>
  </si>
  <si>
    <t>1074</t>
  </si>
  <si>
    <t>ELABORACIÓN DE MACARRONES, FIDEOS, ALCUZCUS Y PRODUCTOS FARINÁCEOS SIMILARES</t>
  </si>
  <si>
    <t>1075</t>
  </si>
  <si>
    <t>ELABORACIÓN DE COMIDAS Y PLATOS PREPARADOS</t>
  </si>
  <si>
    <t>1079</t>
  </si>
  <si>
    <t>ELABORACIÓN DE OTROS PRODUCTOS ALIMENTICIOS N.C.P.</t>
  </si>
  <si>
    <t>1080</t>
  </si>
  <si>
    <t>ELABORACIÓN DE PIENSOS PREPARADOS PARA ANIMALES</t>
  </si>
  <si>
    <t>1101</t>
  </si>
  <si>
    <t>DESTILACIÓN, RECTIFICACIÓN Y MEZCLA DE BEBIDAS ALCOHÓLICAS</t>
  </si>
  <si>
    <t>1102</t>
  </si>
  <si>
    <t>ELABORACIÓN DE VINOS</t>
  </si>
  <si>
    <t>1103</t>
  </si>
  <si>
    <t>ELABORACIÓN DE BEBIDAS MALTEADAS Y DE MALTA</t>
  </si>
  <si>
    <t>1104</t>
  </si>
  <si>
    <t>ELABORACIÓN DE BEBIDAS NO ALCOHÓLICAS; PRODUCCIÓN DE AGUAS MINERALES Y OTRAS AGUAS EMBOTELLADAS</t>
  </si>
  <si>
    <t>1200</t>
  </si>
  <si>
    <t>ELABORACIÓN DE PRODUCTOS DE TABACO</t>
  </si>
  <si>
    <t>1311</t>
  </si>
  <si>
    <t>PREPARACIÓN E HILATURA DE FIBRAS TEXTILES</t>
  </si>
  <si>
    <t>1312</t>
  </si>
  <si>
    <t>TEJEDURA DE PRODUCTOS TEXTILES</t>
  </si>
  <si>
    <t>1313</t>
  </si>
  <si>
    <t>ACABADO DE PRODUCTOS TEXTILES</t>
  </si>
  <si>
    <t>1391</t>
  </si>
  <si>
    <t>FABRICACIÓN DE TEJIDOS DE PUNTO Y GANCHILLO</t>
  </si>
  <si>
    <t>1392</t>
  </si>
  <si>
    <t>FABRICACIÓN DE ARTÍCULOS CONFECCIONADOS DE MATERIALES TEXTILES, EXCEPTO PRENDAS DE VESTIR</t>
  </si>
  <si>
    <t>1393</t>
  </si>
  <si>
    <t>FABRICACIÓN DE TAPICES Y ALFOMBRAS</t>
  </si>
  <si>
    <t>1394</t>
  </si>
  <si>
    <t>FABRICACIÓN DE CUERDAS, CORDELES, BRAMANTES Y REDES</t>
  </si>
  <si>
    <t>1399</t>
  </si>
  <si>
    <t>FABRICACIÓN DE OTROS PRODUCTOS TEXTILES N.C.P.</t>
  </si>
  <si>
    <t>1410</t>
  </si>
  <si>
    <t>FABRICACIÓN DE PRENDAS DE VESTIR, EXCEPTO PRENDAS DE PIEL</t>
  </si>
  <si>
    <t>1420</t>
  </si>
  <si>
    <t>FABRICACIÓN DE ARTÍCULOS DE PIEL</t>
  </si>
  <si>
    <t>1430</t>
  </si>
  <si>
    <t>FABRICACIÓN DE ARTICULOS DE PUNTO Y GANCHILLO</t>
  </si>
  <si>
    <t>1511</t>
  </si>
  <si>
    <t>CURTIDO Y ADOBO DE CUEROS; ADOBO Y TEÑIDO DE PIELES</t>
  </si>
  <si>
    <t>1512</t>
  </si>
  <si>
    <t>FABRICACIÓN DE MALETAS, BOLSOS DE MANO, Y ARTÍCULOS SIMILARES,Y DE ARTICULOS DE TALABARTERÍA Y GUARNICIONERÍA</t>
  </si>
  <si>
    <t>1520</t>
  </si>
  <si>
    <t>FABRICACIÓN DE CALZADO</t>
  </si>
  <si>
    <t>1610</t>
  </si>
  <si>
    <t>ASERRADOS Y ACEPILLADURA DE MADERA</t>
  </si>
  <si>
    <t>1621</t>
  </si>
  <si>
    <t>FABRICACIÓN DE HOJAS DE MADERA PARA ENCHAPADO Y TABLEROS A BASE DE MADERA</t>
  </si>
  <si>
    <t>1622</t>
  </si>
  <si>
    <t>FABRICACIÓN DE PARTES Y PIEZAS DE CARPINTERÍA PARA EDIFICIOS Y CONSTRUCCIONES</t>
  </si>
  <si>
    <t>1623</t>
  </si>
  <si>
    <t>FABRICACIÓN DE RECIPIENTES DE MADERA</t>
  </si>
  <si>
    <t>1629</t>
  </si>
  <si>
    <t>FABRICACIÓN DE OTROS PRODUCTOS DE MADERA; FABRICACIÓN DE ARTÍCULOS DE CORCHO, PAJA Y MATERIALES TRENZABLES.</t>
  </si>
  <si>
    <t>1701</t>
  </si>
  <si>
    <t>FABRICACIÓN DE PASTA DE MADERA, PAPEL Y CARTÓN</t>
  </si>
  <si>
    <t>1702</t>
  </si>
  <si>
    <t>FABRICACIÓN DEL PAPEL Y CARTÓN ONDULADO Y DE ENVASES DE PAPEL Y CARTÓN</t>
  </si>
  <si>
    <t>1709</t>
  </si>
  <si>
    <t>FABRICACIÓN DE OTROS ARTÍCULOS DEL PAPEL Y CARTÓN</t>
  </si>
  <si>
    <t>1811</t>
  </si>
  <si>
    <t>IMPRESIÓN</t>
  </si>
  <si>
    <t>1812</t>
  </si>
  <si>
    <t>ACTIVIDADES DE SERVICIOS RELACIONADAS CON LA IMPRESIÓN</t>
  </si>
  <si>
    <t>1820</t>
  </si>
  <si>
    <t>REPRODUCCIÓN DE GRABACIONES</t>
  </si>
  <si>
    <t>1910</t>
  </si>
  <si>
    <t>FABRICACIÓN DE PRODUCTOS DE HORNOS DE COQUE</t>
  </si>
  <si>
    <t>1920</t>
  </si>
  <si>
    <t>FABRICACIÓN DE PRODUCTOS DE LA REFINACIÓN DEL PETRÓLEO</t>
  </si>
  <si>
    <t>FABRICACIÓN DE SUSTANCIAS QUÍMICAS BÁSICAS</t>
  </si>
  <si>
    <t>2012</t>
  </si>
  <si>
    <t>FABRICACIÓN ABONOS Y COMPUESTOS DE NITRÓGENO</t>
  </si>
  <si>
    <t>2013</t>
  </si>
  <si>
    <t>FABRICACIÓN DE PLÁSTICOS Y DE CAUCHO SINTÉTICO EN FORMAS PRIMARIAS</t>
  </si>
  <si>
    <t>2021</t>
  </si>
  <si>
    <t>FABRICACIÓN DE PLAGUICIDAS Y OTROS PRODUCTOS QUÍMICOS DE USO AGROPECUARIO</t>
  </si>
  <si>
    <t>2022</t>
  </si>
  <si>
    <t>FABRICACIÓN DE PINTURAS, BARNICES Y PRODUCTOS DE REVESTIMIENTO SIMILARES, TINTAS DE IMPRENTA Y MASILLAS</t>
  </si>
  <si>
    <t>2023</t>
  </si>
  <si>
    <t>FABRICACIÓN DE JABONES Y DETERGENTES, PREPARADOS PARA LIMPIAR Y PULIR, PERFUMES Y PREPARADOS DE TOCADOR.</t>
  </si>
  <si>
    <t>2029</t>
  </si>
  <si>
    <t>FABRICACIÓN DE OTROS PRODUCTOS QUÍMICOS N.C.P.</t>
  </si>
  <si>
    <t>2030</t>
  </si>
  <si>
    <t>FABRICACIÓN DE FIBRAS ARTIFICIALES</t>
  </si>
  <si>
    <t>FABRICACIÓN DE PRODUCTOS FARMACÉUTICOS, SUSTANCIAS QUÍMICAS MEDICINALES Y PRODUCTOS BOTÁNICOS DE USO FARMACÉUTICO</t>
  </si>
  <si>
    <t>2211</t>
  </si>
  <si>
    <t>FABRICACIÓN DE CUBIERTAS Y CÁMARAS DE CAUCHO; RECAUCHUTADO Y RENOVACIÓN DE CUBIERTAS DE CAUCHO</t>
  </si>
  <si>
    <t>2219</t>
  </si>
  <si>
    <t>FABRICACIÓN DE OTROS PRODUCTOS DE CAUCHO</t>
  </si>
  <si>
    <t>2220</t>
  </si>
  <si>
    <t>FABRICACIÓN DE PRODUCTOS DE PLÁSTICO</t>
  </si>
  <si>
    <t>2310</t>
  </si>
  <si>
    <t>FABRICACIÓN DE VIDRIO Y DE PRODUCTOS DE VIDRIO</t>
  </si>
  <si>
    <t>2391</t>
  </si>
  <si>
    <t>FABRICACIÓN DE PRODUCTOS REFRACTARIOS</t>
  </si>
  <si>
    <t>2392</t>
  </si>
  <si>
    <t>FABRICACIÓN DE MATERIALES DE CONSTRUCCIÓN DE ARCILLA</t>
  </si>
  <si>
    <t>2393</t>
  </si>
  <si>
    <t>FABRICACIÓN DE OTROS PRODUCTOS DE PORCELANA Y DE CERÁMICA</t>
  </si>
  <si>
    <t>2394</t>
  </si>
  <si>
    <t>FABRICACIÓN DE CEMENTO, CAL Y YESO</t>
  </si>
  <si>
    <t>2395</t>
  </si>
  <si>
    <t>FABRICACIÓN DE ARTÍCULOS DE HORMIGÓN, DE CEMENTO Y DE YESO</t>
  </si>
  <si>
    <t>2396</t>
  </si>
  <si>
    <t>CORTE, TALLA Y ACABADO DE LA PIEDRA</t>
  </si>
  <si>
    <t>2399</t>
  </si>
  <si>
    <t>FABRICACIÓN DE OTROS PRODUCTOS MINERALES NO METÁLICOS N.C.P.</t>
  </si>
  <si>
    <t>2410</t>
  </si>
  <si>
    <t xml:space="preserve">INDUSTRIAS BÁSICAS DE HIERRO Y ACERO </t>
  </si>
  <si>
    <t>2420</t>
  </si>
  <si>
    <t>FABRICACIÓN DE PRODUCTOS PRIMARIOS DE METALES PRECIOSOS Y OTROS METALES NO FERROSOS</t>
  </si>
  <si>
    <t>2431</t>
  </si>
  <si>
    <t>FUNDICIÓN DE HIERRO Y ACERO</t>
  </si>
  <si>
    <t>2432</t>
  </si>
  <si>
    <t>FUNDICIÓN DE METALES NO FERROSOS</t>
  </si>
  <si>
    <t>2511</t>
  </si>
  <si>
    <t>FABRICACIÓN DE PRODUCTOS METÁLICOS PARA USO ESTRUCTURAL</t>
  </si>
  <si>
    <t>2512</t>
  </si>
  <si>
    <t>FABRICACIÓN DE TANQUES, DEPÓSITOS Y RECIPIENTES DE METAL</t>
  </si>
  <si>
    <t>2513</t>
  </si>
  <si>
    <t>FABRICACIÓN DE LOS GENERADORES DEL VAPOR, EXCEPTO CALDERAS DE AGUA CALIENTE PARA CALEFACCIÓN CENTRAL</t>
  </si>
  <si>
    <t>2520</t>
  </si>
  <si>
    <t>FABRICACIÓN DE ARMAS Y MUNICIONES</t>
  </si>
  <si>
    <t>2591</t>
  </si>
  <si>
    <t>FORJA, PRENSADO, ESTAMPADO Y LAMINADO DE METALES; PULVIMETALURGIA</t>
  </si>
  <si>
    <t>2592</t>
  </si>
  <si>
    <t>TRATAMIENTO Y REVESTIMIENTO DE METALES; MAQUINADO</t>
  </si>
  <si>
    <t>2593</t>
  </si>
  <si>
    <t>FABRICACIÓN DE ARTÍCULOS DE CUCHILLERÍA, HERRAMIENTAS DE MANO Y ARTÍCULOS DE FERRETERÍA</t>
  </si>
  <si>
    <t>2599</t>
  </si>
  <si>
    <t>FABRICACIÓN DE OTROS PRODUCTOS ELABORADOS DE METAL N.C.P.</t>
  </si>
  <si>
    <t>2610</t>
  </si>
  <si>
    <t>FABRICACIÓN DE COMPONENTES Y TABLEROS ELECTRÓNICOS</t>
  </si>
  <si>
    <t>2620</t>
  </si>
  <si>
    <t>FABRICACIÓN DE ORDENADORES Y EQUIPO PERIFÉRICO</t>
  </si>
  <si>
    <t>2630</t>
  </si>
  <si>
    <t>FABRICACIÓN DE EQUIPOS DE COMUNICACIONES</t>
  </si>
  <si>
    <t>2640</t>
  </si>
  <si>
    <t>FABRICACIÓN DE APARATOS ELECTRÓNICOS DE CONSUMO</t>
  </si>
  <si>
    <t>2651</t>
  </si>
  <si>
    <t>FABRICACIÓN DE EQUIPO DE MEDICIÓN, PRUEBA, NAVEGACIÓN Y CONTROL</t>
  </si>
  <si>
    <t>2652</t>
  </si>
  <si>
    <t>FABRICACIÓN DE RELOJES</t>
  </si>
  <si>
    <t>2660</t>
  </si>
  <si>
    <t>FABRICACIÓN DE EQUIPO DE IRRADIACIÓN Y EQUIPO ELECTRÓNICO DE USO MÉDICO Y TERAPÉUTICO</t>
  </si>
  <si>
    <t>2670</t>
  </si>
  <si>
    <t>FABRICACIÓN DE INSTRUMENTOS ÓPTICOS Y EQUIPO FOTOGRÁFICO</t>
  </si>
  <si>
    <t>2680</t>
  </si>
  <si>
    <t>FABRICACIÓN DE SOPORTES MAGNÉTICOS Y ÓPTICOS</t>
  </si>
  <si>
    <t>2710</t>
  </si>
  <si>
    <t>FABRICACIÓN DE MOTORES, GENERADORES Y TRANSFORMADORES ELÉCTRICOS Y APARATOS DE DISTRIBUCIÓN Y CONTROL DE LA ENERGÍA ELÉCTRICA</t>
  </si>
  <si>
    <t>2720</t>
  </si>
  <si>
    <t>FABRICACIÓN DE PILAS, BATERÍAS Y ACUMULADORES</t>
  </si>
  <si>
    <t>2731</t>
  </si>
  <si>
    <t>FABRICACIÓN DE CABLES DE FIBRA ÓPTICA</t>
  </si>
  <si>
    <t>2732</t>
  </si>
  <si>
    <t>FABRICACIÓN DE OTROS HILOS Y CABLES ELÉCTRICOS</t>
  </si>
  <si>
    <t>2733</t>
  </si>
  <si>
    <t>FABRICACIÓN DE DISPOSITIVOS DE CABLEADO</t>
  </si>
  <si>
    <t>2740</t>
  </si>
  <si>
    <t>FABRICACIÓN DE EQUIPO ELÉCTRICO DE ILUMINACIÓN</t>
  </si>
  <si>
    <t>2750</t>
  </si>
  <si>
    <t>FABRICACIÓN DE APARATOS DE USO DOMÉSTICO</t>
  </si>
  <si>
    <t>2790</t>
  </si>
  <si>
    <t>FABRICACIÓN DE OTROS TIPOS DE EQUIPO ELÉCTRICO</t>
  </si>
  <si>
    <t>2811</t>
  </si>
  <si>
    <t>FABRICACIÓN DE MOTORES Y TURBINAS, EXCEPTO MOTORES PARA AERONAVES, VEHÍCULOS AUTOMOTORES Y MOTOCICLETAS</t>
  </si>
  <si>
    <t>2812</t>
  </si>
  <si>
    <t>FABRICACIÓN DE EQUIPO DE PROPULSIÓN DE FLUIDOS</t>
  </si>
  <si>
    <t>2813</t>
  </si>
  <si>
    <t>FABRICACIÓN DE BOMBAS, COMPRESORES, GRIFOS Y VÁLVULAS</t>
  </si>
  <si>
    <t>2814</t>
  </si>
  <si>
    <t>FABRICACIÓN DE COJINETES, ENGRANAJES, TRENES DE ENGRANAJES Y PIEZAS DE TRANSMISIÓN</t>
  </si>
  <si>
    <t>2815</t>
  </si>
  <si>
    <t>FABRICACIÓN DE HORNOS, HOGARES Y QUEMADORES</t>
  </si>
  <si>
    <t>2816</t>
  </si>
  <si>
    <t>FABRICACIÓN DE EQUIPO DE ELEVACIÓN Y MANIPULACIÓN</t>
  </si>
  <si>
    <t>2817</t>
  </si>
  <si>
    <t>FABRICACIÓN DE MAQUINARIA Y EQUIPO DE OFICINA (EXCEPTO ORDENADORES Y EQUIPO PERIFÉRICO)</t>
  </si>
  <si>
    <t>2818</t>
  </si>
  <si>
    <t>FABRICACIÓN DE HERRAMIENTAS DE MANO MOTORIZADAS</t>
  </si>
  <si>
    <t>2819</t>
  </si>
  <si>
    <t>FABRICACIÓN DE OTROS TIPOS DE MAQUINARIA DE USO GENERAL</t>
  </si>
  <si>
    <t>2821</t>
  </si>
  <si>
    <t>FABRICACIÓN DE MAQUINARIA AGROPECUARIA Y FORESTAL</t>
  </si>
  <si>
    <t>2822</t>
  </si>
  <si>
    <t>FABRICACIÓN DE MAQUINARIA PARA LA CONFORMACIÓN DE METALES Y DE MÁQUINAS HERRAMIENTA</t>
  </si>
  <si>
    <t>2823</t>
  </si>
  <si>
    <t>FABRICACIÓN DE MAQUINARIA METALÚRGICA</t>
  </si>
  <si>
    <t>2824</t>
  </si>
  <si>
    <t>FABRICACIÓN DE MAQUINARIA PARA EXPLOTACIÓN DE MINAS Y CANTERAS Y PARA OBRAS DE CONSTRUCCIÓN</t>
  </si>
  <si>
    <t>2825</t>
  </si>
  <si>
    <t>FABRICACIÓN DE MAQUINARIA PARA LA ELABORACIÓN DE ALIMENTOS, BEBIDAS Y TABACO</t>
  </si>
  <si>
    <t>2826</t>
  </si>
  <si>
    <t>FABRICACIÓN DE MAQUINARIA PARA LA ELABORACIÓN DE PRODUCTOS TEXTILES, PRENDAS DE VESTIR Y CUEROS</t>
  </si>
  <si>
    <t>2829</t>
  </si>
  <si>
    <t>FABRICACIÓN DE OTROS TIPOS DE MAQUINARIA DE USO ESPECIAL</t>
  </si>
  <si>
    <t>2910</t>
  </si>
  <si>
    <t>FABRICACIÓN DE VEHÍCULOS AUTOMOTORES</t>
  </si>
  <si>
    <t>2920</t>
  </si>
  <si>
    <t>FABRICACIÓN DE CARROCERÍAS PARA VEHÍCULOS AUTOMOTORES; FABRICACIÓN DE REMOLQUES Y SEMIRREMOLQUES</t>
  </si>
  <si>
    <t>2930</t>
  </si>
  <si>
    <t>FABRICACIÓN DE PARTES, PIEZAS Y ACCESORIOS PARA VEHÍCULOS DE AUTOMOTORES</t>
  </si>
  <si>
    <t>3011</t>
  </si>
  <si>
    <t>CONSTRUCCIÓN DE BUQUES Y ESTRUCTURAS FLOTANTES</t>
  </si>
  <si>
    <t>3012</t>
  </si>
  <si>
    <t>CONSTRUCCIÓN DE EMBARCACIONES DE RECREO Y DEPORTE</t>
  </si>
  <si>
    <t>3020</t>
  </si>
  <si>
    <t>FABRICACIÓN DE LOCOMOTORAS Y DE MATERIAL RODANTE</t>
  </si>
  <si>
    <t>3030</t>
  </si>
  <si>
    <t>FABRICACIÓN DE AERONAVES Y  NAVES ESPACIALES Y MAQUINARIA CONEXA</t>
  </si>
  <si>
    <t>3040</t>
  </si>
  <si>
    <t>FABRICACIÓN DE VEHÍCULOS MILITARES DE COMBATE</t>
  </si>
  <si>
    <t>3091</t>
  </si>
  <si>
    <t>FABRICACIÓN DE MOTOCICLETAS</t>
  </si>
  <si>
    <t>3092</t>
  </si>
  <si>
    <t>FABRICACIÓN DE BICICLETAS Y DE SILLONES DE RUEDAS PARA INVÁLIDOS</t>
  </si>
  <si>
    <t>3099</t>
  </si>
  <si>
    <t>FABRICACIÓN DE OTROS TIPOS DE EQUIPO DE TRANSPORTE N.C.P.</t>
  </si>
  <si>
    <t>3100</t>
  </si>
  <si>
    <t>FABRICACIÓN DE MUEBLES</t>
  </si>
  <si>
    <t>3211</t>
  </si>
  <si>
    <t>FABRICACIÓN DE JOYAS Y ARTÍCULOS CONEXOS</t>
  </si>
  <si>
    <t>3212</t>
  </si>
  <si>
    <t>FABRICACIÓN DE BISUTERÍA Y ARTÍCULOS CONEXOS</t>
  </si>
  <si>
    <t>3220</t>
  </si>
  <si>
    <t>FABRICACIÓN DE INSTRUMENTOS DE MÚSICA</t>
  </si>
  <si>
    <t>3230</t>
  </si>
  <si>
    <t>FABRICACIÓN DE ARTÍCULOS DE DEPORTE</t>
  </si>
  <si>
    <t>3240</t>
  </si>
  <si>
    <t>FABRICACIÓN DE JUEGOS Y JUGUETES</t>
  </si>
  <si>
    <t>3250</t>
  </si>
  <si>
    <t>FABRICACIÓN DE INSTRUMENTOS Y MATERIALES MÉDICOS Y ODONTOLÓGICOS</t>
  </si>
  <si>
    <t>3290</t>
  </si>
  <si>
    <t>OTRAS INDUSTRIAS MANUFACTURERAS N.C.P.</t>
  </si>
  <si>
    <t>3311</t>
  </si>
  <si>
    <t>REPARACIÓN DE PRODUCTOS ELABORADOS DE METAL</t>
  </si>
  <si>
    <t>3312</t>
  </si>
  <si>
    <t>REPARACIÓN DE MAQUINARIA</t>
  </si>
  <si>
    <t>3313</t>
  </si>
  <si>
    <t>REPARACIÓN DE EQUIPO ELECTRÓNICO Y ÓPTICO</t>
  </si>
  <si>
    <t>3314</t>
  </si>
  <si>
    <t>REPARACIÓN DE EQUIPO ELÉCTRICO</t>
  </si>
  <si>
    <t>3315</t>
  </si>
  <si>
    <t>REPARACIÓN DE EQUIPO DE TRANSPORTE, EXCEPTO VEHÍCULOS AUTOMOTORES</t>
  </si>
  <si>
    <t>3319</t>
  </si>
  <si>
    <t>REPARACIÓN DE OTROS TIPOS DE EQUIPO</t>
  </si>
  <si>
    <t>3320</t>
  </si>
  <si>
    <t>INSTALACIÓN DE MAQUINARIA Y EQUIPO INDUSTRIALES</t>
  </si>
  <si>
    <t>3510</t>
  </si>
  <si>
    <t>GENERACIÓN, TRANSMISIÓN Y DISTRIBUCIÓN DE ENERGÍA ELÉCTRICA</t>
  </si>
  <si>
    <t>3520</t>
  </si>
  <si>
    <t>FABRICACIÓN DEL GAS; DISTRIBUCIÓN DE COMBUSTIBLES GASEOSOS POR TUBERÍAS</t>
  </si>
  <si>
    <t>3530</t>
  </si>
  <si>
    <t>SUMINISTRO DE VAPOR Y AIRE ACONDICIONADO</t>
  </si>
  <si>
    <t>3600</t>
  </si>
  <si>
    <t>CAPTACIÓN, TRATAMIENTO Y DISTRIBUCIÓN DE AGUA</t>
  </si>
  <si>
    <t>3700</t>
  </si>
  <si>
    <t>EVACUACIÓN DE AGUAS RESIDUALES</t>
  </si>
  <si>
    <t>3811</t>
  </si>
  <si>
    <t>RECOGIDA DE DESECHOS NO PELIGROSOS</t>
  </si>
  <si>
    <t>3812</t>
  </si>
  <si>
    <t>RECOGIDA DE DESECHOS PELIGROSOS</t>
  </si>
  <si>
    <t>3821</t>
  </si>
  <si>
    <t>TRATAMIENTO Y ELIMINACIÓN DE DESECHOS NO PELIGROSOS</t>
  </si>
  <si>
    <t>3822</t>
  </si>
  <si>
    <t>TRATAMIENTO Y ELIMINACIÓN DE DESECHOS PELIGROSOS</t>
  </si>
  <si>
    <t>3830</t>
  </si>
  <si>
    <t>RECUPERACIÓN DE MATERIALES</t>
  </si>
  <si>
    <t>3900</t>
  </si>
  <si>
    <t>ACTIVIDADES DE DESCONTAMINACIÓN Y OTROS SERVICIOS DE GESTIÓN DE DESECHOS</t>
  </si>
  <si>
    <t>4100</t>
  </si>
  <si>
    <t>CONSTRUCCIÓN DE EDIFICIOS</t>
  </si>
  <si>
    <t>4210</t>
  </si>
  <si>
    <t>CONSTRUCCIÓN DE CARRETERAS Y LÍNEAS DE FERROCARRIL</t>
  </si>
  <si>
    <t>4220</t>
  </si>
  <si>
    <t>CONSTRUCCIÓN DE PROYECTOS DE SERVICIO PÚBLICO</t>
  </si>
  <si>
    <t>4290</t>
  </si>
  <si>
    <t>CONSTRUCCIÓN DE OTRAS OBRAS DE INGENIERÍA CIVIL</t>
  </si>
  <si>
    <t>4311</t>
  </si>
  <si>
    <t>DEMOLICIÓN</t>
  </si>
  <si>
    <t>4312</t>
  </si>
  <si>
    <t>PREPARACIÓN DEL TERRENO</t>
  </si>
  <si>
    <t>4321</t>
  </si>
  <si>
    <t>INSTALACIONES ELÉCTRICAS</t>
  </si>
  <si>
    <t>4322</t>
  </si>
  <si>
    <t>INSTALACIONES DE FONTANERÍA, CALEFACCIÓN Y AIRE ACONDICIONADO</t>
  </si>
  <si>
    <t>4329</t>
  </si>
  <si>
    <t>OTRAS INSTALACIONES PARA OBRAS DE CONSTRUCCIÓN</t>
  </si>
  <si>
    <t>4330</t>
  </si>
  <si>
    <t>TERMINACIÓN Y ACABADO DE EDIFICIOS</t>
  </si>
  <si>
    <t>4390</t>
  </si>
  <si>
    <t>OTRAS ACTIVIDADES ESPECIALIZADAS DE LA CONSTRUCCIÓN</t>
  </si>
  <si>
    <t>4510</t>
  </si>
  <si>
    <t>VENTA DE VEHÍCULOS AUTOMOTORES</t>
  </si>
  <si>
    <t>4520</t>
  </si>
  <si>
    <t>MANTENIMIENTO Y REPARACIÓN DE VEHÍCULOS AUTOMOTORES</t>
  </si>
  <si>
    <t>4530</t>
  </si>
  <si>
    <t>VENTAS DE PARTES, PIEZAS Y ACCESORIOS PARA VEHÍCULOS AUTOMOTORES</t>
  </si>
  <si>
    <t>4540</t>
  </si>
  <si>
    <t>VENTA, MANTENIMIENTO Y REPARACIÓN DE MOTOCICLETAS Y DE SUS PARTES, PIEZAS Y ACCESORIOS.</t>
  </si>
  <si>
    <t>4610</t>
  </si>
  <si>
    <t>VENTA AL POR MAYOR A CAMBIO DE UNA RETRIBUCIÓN O POR CONTRATA</t>
  </si>
  <si>
    <t>4620</t>
  </si>
  <si>
    <t>VENTA AL POR MAYOR DE MATERIAS PRIMAS AGROPECUARIAS Y ANIMALES VIVOS.</t>
  </si>
  <si>
    <t>4630</t>
  </si>
  <si>
    <t>VENTA AL POR MAYOR DE ALIMENTOS, BEBIDAS Y TABACO.</t>
  </si>
  <si>
    <t>4641</t>
  </si>
  <si>
    <t>VENTA AL POR MAYOR DE PRODUCTOS TEXTILES, PRENDAS DE VESTIR Y CALZADO</t>
  </si>
  <si>
    <t>4649</t>
  </si>
  <si>
    <t>VENTA AL POR MAYOR DE OTROS ENSERES DOMÉSTICOS</t>
  </si>
  <si>
    <t>4651</t>
  </si>
  <si>
    <t>VENTA AL POR MAYOR DE ORDENADORES, EQUIPO PERIFÉRICO Y PROGRAMAS DE INFORMÁTICA</t>
  </si>
  <si>
    <t>4652</t>
  </si>
  <si>
    <t>VENTA AL POR MAYOR DE EQUIPO, PARTES Y PIEZAS ELECTRÓNICOS Y DE TELECOMUNICACIONES</t>
  </si>
  <si>
    <t>4653</t>
  </si>
  <si>
    <t xml:space="preserve">VENTA AL POR MAYOR DE MAQUINARIA, EQUIPO Y MATERIALES AGROPECUARIOS </t>
  </si>
  <si>
    <t>4659</t>
  </si>
  <si>
    <t>VENTA AL POR MAYOR DE OTROS TIPOS DE MAQUINARIA Y EQUIPO</t>
  </si>
  <si>
    <t>4661</t>
  </si>
  <si>
    <t>VENTA AL POR MAYOR DE COMBUSTIBLES SÓLIDOS, LÍQUIDOS Y GASEOSOS Y  PRODUCTOS CONEXOS</t>
  </si>
  <si>
    <t>4662</t>
  </si>
  <si>
    <t>VENTA AL POR MAYOR DE METALES Y MINERALES METALÍFEROS</t>
  </si>
  <si>
    <t>4663</t>
  </si>
  <si>
    <t>VENTA AL POR MAYOR DE MATERIALES DE CONSTRUCCIÓN, ARTÍCULOS DE FERRETERÍA Y EQUIPO Y MATERIALES DE FONTANERÍA Y CALEFACCIÓN.</t>
  </si>
  <si>
    <t>4669</t>
  </si>
  <si>
    <t xml:space="preserve">VENTA AL POR MAYOR DE DESPERDICIOS, DESECHOS, CHATARRA Y OTROS PRODUCTOS N.C.P </t>
  </si>
  <si>
    <t>4690</t>
  </si>
  <si>
    <t xml:space="preserve">VENTA AL POR MAYOR NO ESPECIALIZADA </t>
  </si>
  <si>
    <t>4711</t>
  </si>
  <si>
    <t>VENTA AL POR MENOR EN COMERCIOS NO ESPECIALIZADOS CON PREDOMINIO DE LA VENTA DE ALIMENTOS, BEBIDAS O TABACO</t>
  </si>
  <si>
    <t>4719</t>
  </si>
  <si>
    <t>OTRAS ACTIVIDADES DE VENTA AL POR MENOR EN COMERCIOS NO ESPECIALIZADOS</t>
  </si>
  <si>
    <t>4721</t>
  </si>
  <si>
    <t>VENTA AL POR MENOR DE ALIMENTOS EN COMERCIOS ESPECIALIZADOS</t>
  </si>
  <si>
    <t>4722</t>
  </si>
  <si>
    <t>VENTA AL POR MENOR DE BEBIDAS EN COMERCIOS ESPECIALIZADOS</t>
  </si>
  <si>
    <t>4723</t>
  </si>
  <si>
    <t>VENTA AL POR MENOR DE PRODUCTOS DE TABACO EN COMERCIOS ESPECIALIZADOS</t>
  </si>
  <si>
    <t>4730</t>
  </si>
  <si>
    <t>VENTA AL POR MENOR DE COMBUSTIBLES PARA VEHÍCULOS AUTOMOTORES EN COMERCIOS ESPECIALIZADOS</t>
  </si>
  <si>
    <t>4741</t>
  </si>
  <si>
    <t>VENTA AL POR MENOR DE ORDENADORES, EQUIPO PERIFÉRICO, PROGRAMAS INFORMÁTICOS Y EQUIPO DE TELECOMUNICACIONES EN COMERCIOS ESPECIALIZADOS</t>
  </si>
  <si>
    <t>4742</t>
  </si>
  <si>
    <t>VENTA AL POR MENOR DE EQUIPO DE SONIDO Y DE VÍDEO EN COMERCIOS ESPECIALIZADOS</t>
  </si>
  <si>
    <t>4751</t>
  </si>
  <si>
    <t>VENTA AL POR MENOR DE PRODUCTOS TEXTILES EN COMERCIOS ESPECIALIZADOS</t>
  </si>
  <si>
    <t>4752</t>
  </si>
  <si>
    <t>VENTA AL POR MENOR DE ARTÍCULOS DE FERRETERÍA, PINTURAS Y PRODUCTOS DE VIDRIO EN COMERCIOS ESPECIALIZADOS</t>
  </si>
  <si>
    <t>4753</t>
  </si>
  <si>
    <t>VENTA AL POR MENOR DE TAPICES, ALFOMBRAS Y CUBRIMIENTOS PARA PAREDES Y PISOS EN COMERCIOS ESPECIALIZADOS</t>
  </si>
  <si>
    <t>4759</t>
  </si>
  <si>
    <t>VENTA AL POR MENOR DE APARATOS ELÉCTRICOS DE USO DOMÉSTICO,  MUEBLES, EQUIPO DE ILUMINACIÓN Y OTROS ENSERES DOMÉSTICOS EN COMERCIOS ESPECIALIZADOS</t>
  </si>
  <si>
    <t>4761</t>
  </si>
  <si>
    <t>VENTA AL POR MENOR DE LIBROS, PERIÓDICOS Y ARTÍCULOS DE PAPELERÍA EN COMERCIOS ESPECIALIZADOS</t>
  </si>
  <si>
    <t>4762</t>
  </si>
  <si>
    <t>VENTA AL POR MENOR DE GRABACIONES DE MÚSICA Y DE VÍDEO EN COMERCIOS ESPECIALIZADOS</t>
  </si>
  <si>
    <t>4763</t>
  </si>
  <si>
    <t>VENTA AL POR MENOR DE EQUIPO DE DEPORTE EN COMERCIOS ESPECIALIZADOS</t>
  </si>
  <si>
    <t>4764</t>
  </si>
  <si>
    <t>VENTA AL POR MENOR DE JUEGOS Y  JUGUETES EN COMERCIOS ESPECIALIZADOS</t>
  </si>
  <si>
    <t>4771</t>
  </si>
  <si>
    <t>VENTA AL POR MENOR DE PRENDAS DE VESTIR, CALZADO Y ARTÍCULOS DE CUERO EN COMERCIOS ESPECIALIZADOS</t>
  </si>
  <si>
    <t>4772</t>
  </si>
  <si>
    <t xml:space="preserve">VENTA AL POR MENOR DE PRODUCTOS FARMACÉUTICOS Y MEDICINALES, COSMÉTICOS Y ARTÍCULOS DE TOCADOR EN COMERCIOS ESPECIALIZADOS   </t>
  </si>
  <si>
    <t>4773</t>
  </si>
  <si>
    <t>VENTA AL POR MENOR DE OTROS PRODUCTOS NUEVOS EN COMERCIOS ESPECIALIZADOS</t>
  </si>
  <si>
    <t>4774</t>
  </si>
  <si>
    <t>VENTA AL POR MENOR DE ARTÍCULOS DE SEGUNDA MANO</t>
  </si>
  <si>
    <t>4781</t>
  </si>
  <si>
    <t xml:space="preserve">VENTA AL POR MENOR DE ALIMENTOS, BEBIDAS Y TABACO EN PUESTOS DE VENTA Y MERCADOS </t>
  </si>
  <si>
    <t>4782</t>
  </si>
  <si>
    <t>VENTA AL POR MENOR DE PRODUCTOS TEXTILES, PRENDAS DE VESTIR Y CALZADO EN PUESTOS DE VENTA Y MERCADOS</t>
  </si>
  <si>
    <t>4789</t>
  </si>
  <si>
    <t>VENTA AL POR MENOR DE OTROS PRODUCTOS EN PUESTOS DE VENTA Y MERCADOS</t>
  </si>
  <si>
    <t>4791</t>
  </si>
  <si>
    <t>VENTA AL POR MENOR POR CORREO Y POR INTERNET</t>
  </si>
  <si>
    <t>4799</t>
  </si>
  <si>
    <t>OTRAS ACTIVIDADES DE VENTA AL POR MENOR NO REALIZADAS EN COMERCIOS, PUESTOS DE VENTA O MERCADOS</t>
  </si>
  <si>
    <t>4911</t>
  </si>
  <si>
    <t>TRANSPORTE INTERURBANO DE PASAJEROS POR FERROCARRIL</t>
  </si>
  <si>
    <t>4912</t>
  </si>
  <si>
    <t>TRANSPORTE DE CARGA POR FERROCARRIL</t>
  </si>
  <si>
    <t>4921</t>
  </si>
  <si>
    <t xml:space="preserve">TRANSPORTE URBANO Y SUBURBANO DE PASAJEROS POR VÍA TERRESTRE </t>
  </si>
  <si>
    <t>4922</t>
  </si>
  <si>
    <t>OTRAS ACTIVIDADES DE TRANSPORTE POR VÍA TERRESTRE</t>
  </si>
  <si>
    <t>4923</t>
  </si>
  <si>
    <t>TRANSPORTE DE CARGA POR CARRETERA</t>
  </si>
  <si>
    <t>4930</t>
  </si>
  <si>
    <t>TRANSPORTE POR TUBERÍAS</t>
  </si>
  <si>
    <t>TRANSPORTE DE PASAJEROS MARÍTIMO Y DE CABOTAJE</t>
  </si>
  <si>
    <t>TRANSPORTE DE CARGA MARÍTIMO Y DE CABOTAJE</t>
  </si>
  <si>
    <t>TRANSPORTE DE PASAJEROS POR VÍAS DE NAVEGACIÓN INTERIORES</t>
  </si>
  <si>
    <t>TRANSPORTE DE CARGA, POR VÍAS DE NAVEGACIÓN INTERIORES</t>
  </si>
  <si>
    <t>5110</t>
  </si>
  <si>
    <t>TRANSPORTE DE PASAJEROS POR VÍA AÉREA</t>
  </si>
  <si>
    <t>5120</t>
  </si>
  <si>
    <t>TRANSPORTE DE CARGA POR VÍA AÉREA</t>
  </si>
  <si>
    <t>5210</t>
  </si>
  <si>
    <t>ALMACENAMIENTO Y DEPÓSITO</t>
  </si>
  <si>
    <t>5221</t>
  </si>
  <si>
    <t>ACTIVIDADES DE SERVICIOS VINCULADAS AL TRANSPORTE TERRESTRE</t>
  </si>
  <si>
    <t>5222</t>
  </si>
  <si>
    <t>ACTIVIDADES DE SERVICIOS VINCULADAS AL TRANSPORTE ACUÁTICO</t>
  </si>
  <si>
    <t>5223</t>
  </si>
  <si>
    <t>ACTIVIDADES DE SERVICIOS VINCULADAS AL TRANSPORTE AÉREO</t>
  </si>
  <si>
    <t>5224</t>
  </si>
  <si>
    <t>MANIPULACIÓN DE CARGA</t>
  </si>
  <si>
    <t>5229</t>
  </si>
  <si>
    <t>OTRAS ACTIVIDADES DE APOYO AL TRANSPORTE</t>
  </si>
  <si>
    <t>5310</t>
  </si>
  <si>
    <t>ACTIVIDADES POSTALES</t>
  </si>
  <si>
    <t>5320</t>
  </si>
  <si>
    <t>ACTIVIDADES DE MENSAJERÍA</t>
  </si>
  <si>
    <t>5510</t>
  </si>
  <si>
    <t>ACTIVIDADES DE ALOJAMIENTO PARA ESTANCIAS CORTAS</t>
  </si>
  <si>
    <t>5520</t>
  </si>
  <si>
    <t>ACTIVIDADES DE CAMPAMENTOS, PARQUES DE VEHÍCULOS RECREATIVOS Y PARQUES DE CARAVANAS</t>
  </si>
  <si>
    <t>5590</t>
  </si>
  <si>
    <t>OTRAS ACTIVIDADES DE ALOJAMIENTO</t>
  </si>
  <si>
    <t>5610</t>
  </si>
  <si>
    <t>ACTIVIDADES DE RESTAURANTES Y DE SERVICIO MÓVIL DE COMIDAS</t>
  </si>
  <si>
    <t>5621</t>
  </si>
  <si>
    <t>SUMINISTRO DE COMIDAS POR ENCARGO</t>
  </si>
  <si>
    <t>5629</t>
  </si>
  <si>
    <t>OTRAS ACTIVIDADES DE SERVICIO DE COMIDAS</t>
  </si>
  <si>
    <t>5630</t>
  </si>
  <si>
    <t>ACTIVIDADES DE SERVICIO DE BEBIDAS</t>
  </si>
  <si>
    <t>5811</t>
  </si>
  <si>
    <t>EDICIÓN DE LIBROS</t>
  </si>
  <si>
    <t>5812</t>
  </si>
  <si>
    <t>EDICIÓN DE DIRECTORIOS Y LISTAS DE CORREO</t>
  </si>
  <si>
    <t>5813</t>
  </si>
  <si>
    <t>EDICIÓN DE PERIÓDICOS, REVISTAS Y OTRAS PUBLICACIONES PERIÓDICAS</t>
  </si>
  <si>
    <t>5819</t>
  </si>
  <si>
    <t>OTRAS ACTIVIDADES DE EDICIÓN</t>
  </si>
  <si>
    <t>5820</t>
  </si>
  <si>
    <t>EDICIÓN DE PROGRAMAS DE INFORMÁTICOS</t>
  </si>
  <si>
    <t>5911</t>
  </si>
  <si>
    <t>ACTIVIDADES DE PRODUCCIÓN DE PELÍCULAS CINEMATOGRÁFICAS, VÍDEOS Y PROGRAMAS DE TELEVISIÓN</t>
  </si>
  <si>
    <t>5912</t>
  </si>
  <si>
    <t>ACTIVIDADES DE POSTPRODUCCIÓN DE PELÍCULAS CINEMATOGRÁFICAS, VÍDEOS Y PROGRAMAS DE TELEVISIÓN</t>
  </si>
  <si>
    <t>5913</t>
  </si>
  <si>
    <t>ACTIVIDADES DE DISTRIBUCIÓN DE PELÍCULAS CINEMATOGRÁFICAS, VÍDEOS Y PROGRAMAS DE TELEVISIÓN</t>
  </si>
  <si>
    <t>5914</t>
  </si>
  <si>
    <t xml:space="preserve">ACTIVIDADES DE EXHIBICIÓN DE PELÍCULAS CINEMATOGRÁFICAS Y CINTAS DE VÍDEO </t>
  </si>
  <si>
    <t>5920</t>
  </si>
  <si>
    <t>ACTIVIDADES DE GRABACIÓN DE SONIDO Y EDICIÓN DE MÚSICA</t>
  </si>
  <si>
    <t>6010</t>
  </si>
  <si>
    <t>TRANSMISIONES DE RADIO</t>
  </si>
  <si>
    <t>6020</t>
  </si>
  <si>
    <t>PROGRAMACIÓN Y TRANSMISIONES DE TELEVISIÓN</t>
  </si>
  <si>
    <t>6110</t>
  </si>
  <si>
    <t>ACTIVIDADES DE TELECOMUNICACIONES ALÁMBRICAS</t>
  </si>
  <si>
    <t>6120</t>
  </si>
  <si>
    <t>ACTIVIDADES DE TELECOMUNICACIONES INALÁMBRICAS</t>
  </si>
  <si>
    <t>6130</t>
  </si>
  <si>
    <t>ACTIVIDADES DE TELECOMUNICACIONES POR SATÉLITE.</t>
  </si>
  <si>
    <t>6190</t>
  </si>
  <si>
    <t>OTRAS ACTIVIDADES DE TELECOMUNICACIÓN.</t>
  </si>
  <si>
    <t>6201</t>
  </si>
  <si>
    <t>PROGRAMACIÓN INFORMÁTICA</t>
  </si>
  <si>
    <t>6202</t>
  </si>
  <si>
    <t>CONSULTORÍA DE INFORMÁTICA Y DE GESTIÓN DE INSTALACIONES INFORMÁTICAS</t>
  </si>
  <si>
    <t>6209</t>
  </si>
  <si>
    <t>OTRAS ACTIVIDADES DE TECNOLOGÍA DE LA INFORMACIÓN Y DE SERVICIOS INFORMÁTICOS</t>
  </si>
  <si>
    <t>6311</t>
  </si>
  <si>
    <t>PROCESAMIENTO DE DATOS, HOSPEDAJE Y ACTIVIDADES CONEXAS</t>
  </si>
  <si>
    <t>6312</t>
  </si>
  <si>
    <t>PORTALES WEB</t>
  </si>
  <si>
    <t>6391</t>
  </si>
  <si>
    <t>ACTIVIDADES DE AGENCIAS DE NOTICIAS</t>
  </si>
  <si>
    <t>6399</t>
  </si>
  <si>
    <t>OTRAS ACTIVIDADES DE SERVICIOS DE INFORMACIÓN N.C.P.</t>
  </si>
  <si>
    <t>6411</t>
  </si>
  <si>
    <t>BANCA CENTRAL</t>
  </si>
  <si>
    <t>6419</t>
  </si>
  <si>
    <t>OTROS TIPOS DE INTERMEDIACIÓN MONETARIA.</t>
  </si>
  <si>
    <t>6420</t>
  </si>
  <si>
    <t>ACTIVIDADES DE SOCIEDADES DE CARTERA</t>
  </si>
  <si>
    <t>6430</t>
  </si>
  <si>
    <t>FONDOS Y SOCIEDADES DE INVERSIÓN Y ENTIDADES FINANCIERAS SIMILARES</t>
  </si>
  <si>
    <t>6491</t>
  </si>
  <si>
    <t>ARRENDAMIENTO FINANCIERO</t>
  </si>
  <si>
    <t>6492</t>
  </si>
  <si>
    <t>OTRAS ACTIVIDADES DE CONCESIÓN DE CRÉDITO</t>
  </si>
  <si>
    <t>6499</t>
  </si>
  <si>
    <t>OTRAS ACTIVIDADES DE SERVICIOS FINANCIEROS, EXCEPTO LAS DE SEGUROS Y FONDOS DE PENSIONES, N.C.P.</t>
  </si>
  <si>
    <t>6511</t>
  </si>
  <si>
    <t>SEGUROS DE VIDA</t>
  </si>
  <si>
    <t>6512</t>
  </si>
  <si>
    <t>SEGUROS GENERALES</t>
  </si>
  <si>
    <t>6520</t>
  </si>
  <si>
    <t>REASEGUROS</t>
  </si>
  <si>
    <t>6530</t>
  </si>
  <si>
    <t>FONDOS DE PENSIONES</t>
  </si>
  <si>
    <t>6611</t>
  </si>
  <si>
    <t>ADMINISTRACIÓN DE MERCADOS FINANCIEROS</t>
  </si>
  <si>
    <t>6612</t>
  </si>
  <si>
    <t>CORRETAJE DE VALORES Y DE CONTRATOS DE PRODUCTOS BÁSICOS</t>
  </si>
  <si>
    <t>6619</t>
  </si>
  <si>
    <t>OTRAS ACTIVIDADES AUXILIARES DE LAS ACTIVIDADES DE SERVICIOS FINANCIEROS</t>
  </si>
  <si>
    <t>6621</t>
  </si>
  <si>
    <t>EVALUACIÓN DE RIESGOS Y DAÑOS</t>
  </si>
  <si>
    <t>6622</t>
  </si>
  <si>
    <t>ACTIVIDADES DE AGENTES Y CORREDORES DE SEGUROS</t>
  </si>
  <si>
    <t>6629</t>
  </si>
  <si>
    <t>OTRAS ACTIVIDADES AUXILIARES DE LAS ACTIVIDADES DE SEGUROS Y FONDOS DE PENSIONES</t>
  </si>
  <si>
    <t>6630</t>
  </si>
  <si>
    <t>ACTIVIDADES DE GESTIÓN DE FONDOS</t>
  </si>
  <si>
    <t>6810</t>
  </si>
  <si>
    <t>ACTIVIDADES INMOBILIARIAS REALIZADAS CON BIENES PROPIOS O ARRENDADOS</t>
  </si>
  <si>
    <t>6820</t>
  </si>
  <si>
    <t>ACTIVIDADES INMOBILIARIAS REALIZADAS A CAMBIO DE UNA RETRIBUCIÓN O POR CONTRATA</t>
  </si>
  <si>
    <t>6910</t>
  </si>
  <si>
    <t>ACTIVIDADES JURÍDICAS</t>
  </si>
  <si>
    <t>6920</t>
  </si>
  <si>
    <t>ACTIVIDADES DE CONTABILIDAD, TENEDURÍA DE LIBROS Y AUDITORÍA; CONSULTORÍA FISCAL</t>
  </si>
  <si>
    <t>ACTIVIDADES DE OFICINAS CENTRALES</t>
  </si>
  <si>
    <t>ACTIVIDADES DE CONSULTORÍA DE GESTIÓN</t>
  </si>
  <si>
    <t>7110</t>
  </si>
  <si>
    <t>ACTIVIDADES DE ARQUITECTURA E INGENIERÍA Y ACTIVIDADES CONEXAS DE CONSULTORÍA TÉCNICA</t>
  </si>
  <si>
    <t>7120</t>
  </si>
  <si>
    <t>ENSAYOS Y ANÁLISIS TÉCNICOS</t>
  </si>
  <si>
    <t>7210</t>
  </si>
  <si>
    <t>INVESTIGACIÓN Y DESARROLLO EXPERIMENTAL EN EL CAMPO DE LAS CIENCIAS NATURALES Y LA INGENIERÍA</t>
  </si>
  <si>
    <t>7220</t>
  </si>
  <si>
    <t>INVESTIGACIÓN Y DESARROLLO EXPERIMENTAL EN EL CAMPO DE LAS CIENCIAS SOCIALES Y LAS HUMANIDADES</t>
  </si>
  <si>
    <t>7310</t>
  </si>
  <si>
    <t>PUBLICIDAD</t>
  </si>
  <si>
    <t>7320</t>
  </si>
  <si>
    <t>ESTUDIOS DE MERCADO Y ENCUESTAS DE OPINIÓN PÚBLICA</t>
  </si>
  <si>
    <t>7410</t>
  </si>
  <si>
    <t>ACTIVIDADES ESPECIALIZADAS DE DISEÑO</t>
  </si>
  <si>
    <t>7420</t>
  </si>
  <si>
    <t>ACTIVIDADES DE FOTOGRAFÍA</t>
  </si>
  <si>
    <t>7490</t>
  </si>
  <si>
    <t>OTRAS ACTIVIDADES PROFESIONALES, CIENTÍFICAS Y TÉCNICAS N.C.P.</t>
  </si>
  <si>
    <t>7500</t>
  </si>
  <si>
    <t>ACTIVIDADES VETERINARIAS</t>
  </si>
  <si>
    <t>7710</t>
  </si>
  <si>
    <t>ALQUILER Y ARRENDAMIENTO DE VEHÍCULOS AUTOMOTORES</t>
  </si>
  <si>
    <t>7721</t>
  </si>
  <si>
    <t>ALQUILER Y ARRENDAMIENTO DE EQUIPO RECREATIVO Y DEPORTIVO</t>
  </si>
  <si>
    <t>7722</t>
  </si>
  <si>
    <t>ALQUILER DE CINTAS DE VÍDEO Y DISCOS</t>
  </si>
  <si>
    <t>7729</t>
  </si>
  <si>
    <t xml:space="preserve">ALQUILER Y ARRENDAMIENTO DE OTROS EFECTOS PERSONALES Y ENSERES DOMÉSTICOS </t>
  </si>
  <si>
    <t>7730</t>
  </si>
  <si>
    <t>ALQUILER Y ARRENDAMIENTO DE OTROS TIPOS DE MAQUINARIA, EQUIPO Y BIENES TANGIBLES</t>
  </si>
  <si>
    <t>7740</t>
  </si>
  <si>
    <t>ARRENDAMIENTO DE PROPIEDAD INTELECTUAL Y PRODUCTOS SIMILARES, EXCEPTO OBRAS PROTEGIDAS  POR DERECHOS DE AUTOR</t>
  </si>
  <si>
    <t>7810</t>
  </si>
  <si>
    <t>ACTIVIDADES DE AGENCIAS DE EMPLEO</t>
  </si>
  <si>
    <t>7820</t>
  </si>
  <si>
    <t>ACTIVIDADES DE AGENCIAS DE EMPLEO TEMPORAL</t>
  </si>
  <si>
    <t>7830</t>
  </si>
  <si>
    <t>OTRAS ACTIVIDADES DE DOTACIÓN DE RECURSOS HUMANOS</t>
  </si>
  <si>
    <t>7911</t>
  </si>
  <si>
    <t>ACTIVIDADES DE AGENCIAS DE VIAJES</t>
  </si>
  <si>
    <t>7912</t>
  </si>
  <si>
    <t>ACTIVIDADES DE OPERADORES TURÍSTICOS</t>
  </si>
  <si>
    <t>7990</t>
  </si>
  <si>
    <t>OTROS SERVICIOS DE RESERVAS Y ACTIVIDADES CONEXAS</t>
  </si>
  <si>
    <t>8010</t>
  </si>
  <si>
    <t>ACTIVIDADES DE SEGURIDAD PRIVADA</t>
  </si>
  <si>
    <t>8020</t>
  </si>
  <si>
    <t>ACTIVIDADES DE SERVICIO DE SISTEMAS DE SEGURIDAD</t>
  </si>
  <si>
    <t>8030</t>
  </si>
  <si>
    <t>ACTIVIDADES DE INVESTIGACIÓN</t>
  </si>
  <si>
    <t>8110</t>
  </si>
  <si>
    <t>ACTIVIDADES COMBINADAS DE APOYO A INSTALACIONES</t>
  </si>
  <si>
    <t>8121</t>
  </si>
  <si>
    <t>LIMPIEZA GENERAL DE EDIFICIOS</t>
  </si>
  <si>
    <t>8129</t>
  </si>
  <si>
    <t>OTRAS ACTIVIDADES DE LIMPIEZA DE EDIFICIOS E INSTALACIONES INDUSTRIALES</t>
  </si>
  <si>
    <t>8130</t>
  </si>
  <si>
    <t>ACTIVIDADES DE PAISAJISMO Y SERVICIOS DE MANTENIMIENTO CONEXOS</t>
  </si>
  <si>
    <t>8211</t>
  </si>
  <si>
    <t>ACTIVIDADES COMBINADAS DE SERVICIOS ADMINISTRATIVOS DE OFICINA</t>
  </si>
  <si>
    <t>8219</t>
  </si>
  <si>
    <t>FOTOCOPIADO, PREPARACIÓN DE DOCUMENTOS Y OTRAS ACTIVIDADES ESPECIALIZADAS DE APOYO DE OFICINA</t>
  </si>
  <si>
    <t>8220</t>
  </si>
  <si>
    <t>ACTIVIDADES DE CENTROS DE LLAMADAS</t>
  </si>
  <si>
    <t>8230</t>
  </si>
  <si>
    <t>ORGANIZACIÓN DE CONVENCIONES Y EXPOSICIONES COMERCIALES</t>
  </si>
  <si>
    <t>8291</t>
  </si>
  <si>
    <t>ACTIVIDADES DE AGENCIAS DE COBRO Y AGENCIAS DE CALIFICACIÓN CREDITICIA</t>
  </si>
  <si>
    <t>8292</t>
  </si>
  <si>
    <t>ACTIVIDADES DE ENVASADO Y EMPAQUETADO</t>
  </si>
  <si>
    <t>8299</t>
  </si>
  <si>
    <t>OTRAS ACTIVIDADES DE SERVICIOS DE APOYO A LAS EMPRESAS N.C.P</t>
  </si>
  <si>
    <t>8411</t>
  </si>
  <si>
    <t>ACTIVIDADES DE LA ADMINISTRACIÓN PÚBLICA EN GENERAL</t>
  </si>
  <si>
    <t>8412</t>
  </si>
  <si>
    <t>REGULACIÓN DE LAS ACTIVIDADES DE ORGANISMOS QUE PRESTAN SERVICIOS SANITARIOS, EDUCATIVOS, CULTURALES Y OTROS SERVICIOS SOCIALES, EXCEPTO SERVICIOS DE SEGURIDAD SOCIAL</t>
  </si>
  <si>
    <t>8413</t>
  </si>
  <si>
    <t>REGULACIÓN Y FACILITACIÓN DE LA ACTIVIDAD ECONÓMICA</t>
  </si>
  <si>
    <t>8421</t>
  </si>
  <si>
    <t>RELACIONES EXTERIORES</t>
  </si>
  <si>
    <t>8422</t>
  </si>
  <si>
    <t>ACTIVIDADES DE DEFENSA</t>
  </si>
  <si>
    <t>8423</t>
  </si>
  <si>
    <t>ACTIVIDADES DE MANTENIMIENTO DEL ORDEN PÚBLICO Y DE SEGURIDAD</t>
  </si>
  <si>
    <t>8430</t>
  </si>
  <si>
    <t>ACTIVIDADES DE PLANES DE SEGURIDAD SOCIAL DE AFILIACIÓN OBLIGATORIA</t>
  </si>
  <si>
    <t>8510</t>
  </si>
  <si>
    <t>ENSEÑANZA PREESCOLAR Y PRIMARIA</t>
  </si>
  <si>
    <t>8521</t>
  </si>
  <si>
    <t>ENSEÑANZA SECUNDARIA DE FORMACIÓN GENERAL</t>
  </si>
  <si>
    <t>8522</t>
  </si>
  <si>
    <t>ENSEÑANZA SECUNDARIA DE FORMACIÓN TÉCNICA Y PROFESIONAL</t>
  </si>
  <si>
    <t>8530</t>
  </si>
  <si>
    <t>ENSEÑANZA SUPERIOR</t>
  </si>
  <si>
    <t>8541</t>
  </si>
  <si>
    <t>EDUCACIÓN DEPORTIVA Y RECREATIVA</t>
  </si>
  <si>
    <t>8542</t>
  </si>
  <si>
    <t>ENSEÑANZA CULTURAL</t>
  </si>
  <si>
    <t>8549</t>
  </si>
  <si>
    <t>OTROS TIPOS DE ENSEÑANZA N.C.P.</t>
  </si>
  <si>
    <t>8550</t>
  </si>
  <si>
    <t>ACTIVIDADES DE APOYO A LA ENSEÑANZA</t>
  </si>
  <si>
    <t>8610</t>
  </si>
  <si>
    <t>ACTIVIDADES DE HOSPITALES</t>
  </si>
  <si>
    <t>8620</t>
  </si>
  <si>
    <t>ACTIVIDADES DE MÉDICOS Y ODONTÓLOGOS</t>
  </si>
  <si>
    <t>8690</t>
  </si>
  <si>
    <t>OTRAS ACTIVIDADES DE ATENCIÓN DE LA SALUD HUMANA</t>
  </si>
  <si>
    <t>8710</t>
  </si>
  <si>
    <t>ACTIVIDADES DE ATENCIÓN DE ENFERMERÍA EN INSTITUCIONES</t>
  </si>
  <si>
    <t>8720</t>
  </si>
  <si>
    <t>ACTIVIDADES DE ATENCIÓN EN INSTITUCIONES PARA PERSONAS CON RETRASO MENTAL, ENFERMOS MENTALES Y TOXICÓMANOS</t>
  </si>
  <si>
    <t>8730</t>
  </si>
  <si>
    <t>ACTIVIDADES DE ATENCIÓN EN INSTITUCIONES PARA PERSONAS DE EDAD PERSONAS CON DISCAPACIDAD</t>
  </si>
  <si>
    <t>8790</t>
  </si>
  <si>
    <t>OTRAS ACTIVIDADES DE ATENCIÓN EN INSTITUCIONES</t>
  </si>
  <si>
    <t>8810</t>
  </si>
  <si>
    <t>ACTIVIDADES DE ASISTENCIA SOCIAL SIN ALOJAMIENTO PARA PERSONAS DE EDAD Y PERSONAS CON DISCAPACIDAD</t>
  </si>
  <si>
    <t>8890</t>
  </si>
  <si>
    <t>OTRAS ACTIVIDADES DE ASISTENCIA SOCIAL SIN ALOJAMIENTO</t>
  </si>
  <si>
    <t>9000</t>
  </si>
  <si>
    <t>ACTIVIDADES CREATIVAS, ARTÍSTICAS Y DE ENTRETENIMIENTO</t>
  </si>
  <si>
    <t>9101</t>
  </si>
  <si>
    <t>ACTIVIDADES DE BIBLIOTECAS Y ARCHIVOS</t>
  </si>
  <si>
    <t>9102</t>
  </si>
  <si>
    <t>ACTIVIDADES DE MUSEOS Y GESTIÓN DE LUGARES Y EDIFICIOS HISTÓRICOS</t>
  </si>
  <si>
    <t>9103</t>
  </si>
  <si>
    <t>ACTIVIDADES DE JARDINES BOTÁNICOS Y ZOOLÓGICOS Y RESERVAS NATURALES</t>
  </si>
  <si>
    <t>9200</t>
  </si>
  <si>
    <t>ACTIVIDADES DE JUEGOS DE AZAR Y APUESTAS</t>
  </si>
  <si>
    <t>9311</t>
  </si>
  <si>
    <t>GESTIÓN DE INSTALACIONES DEPORTIVAS</t>
  </si>
  <si>
    <t>9312</t>
  </si>
  <si>
    <t>ACTIVIDADES DE CLUBES DEPORTIVOS</t>
  </si>
  <si>
    <t>9319</t>
  </si>
  <si>
    <t>OTRAS ACTIVIDADES DEPORTIVAS</t>
  </si>
  <si>
    <t>9321</t>
  </si>
  <si>
    <t>ACTIVIDADES DE PARQUES DE ATRACCIONES Y PARQUES TEMÁTICOS</t>
  </si>
  <si>
    <t>9329</t>
  </si>
  <si>
    <t>OTRAS ACTIVIDADES DE ESPARCIMIENTO Y RECREATIVAS N.C.P.</t>
  </si>
  <si>
    <t>9411</t>
  </si>
  <si>
    <t>ACTIVIDADES DE ASOCIACIONES EMPRESARIALES Y DE EMPLEADORES</t>
  </si>
  <si>
    <t>9412</t>
  </si>
  <si>
    <t>ACTIVIDADES DE ASOCIACIONES PROFESIONALES</t>
  </si>
  <si>
    <t>9420</t>
  </si>
  <si>
    <t>ACTIVIDADES DE SINDICATOS</t>
  </si>
  <si>
    <t>9491</t>
  </si>
  <si>
    <t>ACTIVIDADES DE ORGANIZACIONES RELIGIOSAS</t>
  </si>
  <si>
    <t>9492</t>
  </si>
  <si>
    <t>ACTIVIDADES DE ORGANIZACIONES POLÍTICAS</t>
  </si>
  <si>
    <t>9499</t>
  </si>
  <si>
    <t>ACTIVIDADES DE OTRAS ASOCIACIONES N.C.P.</t>
  </si>
  <si>
    <t>9511</t>
  </si>
  <si>
    <t>REPARACIÓN DE ORDENADORES Y EQUIPO PERIFÉRICO</t>
  </si>
  <si>
    <t>9512</t>
  </si>
  <si>
    <t>REPARACIÓN DE EQUIPOS COMUNICACIONALES</t>
  </si>
  <si>
    <t>9521</t>
  </si>
  <si>
    <t>REPARACIÓN DE APARATOS ELECTRÓNICOS DE CONSUMO</t>
  </si>
  <si>
    <t>9522</t>
  </si>
  <si>
    <t>REPARACIÓN DE APARATOS DE USO DOMÉSTICO Y EQUIPO DOMÉSTICO Y DE JARDINERÍA</t>
  </si>
  <si>
    <t>9523</t>
  </si>
  <si>
    <t>REPARACIÓN DE CALZADO Y ARTÍCULOS DE CUERO</t>
  </si>
  <si>
    <t>9524</t>
  </si>
  <si>
    <t>REPARACIÓN DE MUEBLES Y ACCESORIOS DOMÉSTICOS</t>
  </si>
  <si>
    <t>9529</t>
  </si>
  <si>
    <t>REPARACIÓN DE OTROS EFECTOS PERSONALES Y ENSERES DOMÉSTICOS</t>
  </si>
  <si>
    <t>9601</t>
  </si>
  <si>
    <t>LAVADO Y LIMPIEZA, INCLUIDA LA LIMPIEZA EN SECO, DE PRODUCTOS TEXTILES Y DE PIEL</t>
  </si>
  <si>
    <t>9602</t>
  </si>
  <si>
    <t>PELUQUERÍA Y OTROS TRATAMIENTOS DE BELLEZA</t>
  </si>
  <si>
    <t>9603</t>
  </si>
  <si>
    <t>POMPAS FÚNEBRES Y ACTIVIDADES CONEXAS</t>
  </si>
  <si>
    <t>9609</t>
  </si>
  <si>
    <t>OTRAS ACTIVIDADES DE SERVICIOS PERSONALES N.C.P.</t>
  </si>
  <si>
    <t>9700</t>
  </si>
  <si>
    <t>ACTIVIDADES DE LOS HOGARES COMO EMPLEADORES DE PERSONAL DOMÉSTICO</t>
  </si>
  <si>
    <t>9810</t>
  </si>
  <si>
    <r>
      <rPr>
        <sz val="10"/>
        <rFont val="Arial"/>
        <family val="2"/>
        <charset val="1"/>
      </rPr>
      <t>ACTIVIDADES NO DIFERENCIADAS DE LOS HOGARES COMO PRODUCTORES DE BIENES PARA USO PROPIO</t>
    </r>
    <r>
      <rPr>
        <b/>
        <sz val="12"/>
        <rFont val="Arial"/>
        <family val="2"/>
        <charset val="1"/>
      </rPr>
      <t xml:space="preserve"> (NO USAR)</t>
    </r>
  </si>
  <si>
    <t>9820</t>
  </si>
  <si>
    <r>
      <rPr>
        <sz val="10"/>
        <rFont val="Arial"/>
        <family val="2"/>
        <charset val="1"/>
      </rPr>
      <t xml:space="preserve">ACTIVIDADES NO DIFERENCIADAS DE LOS HOGARES COMO PRODUCTORES DE SERVICIOS PARA USO PROPIO </t>
    </r>
    <r>
      <rPr>
        <b/>
        <sz val="12"/>
        <rFont val="Arial"/>
        <family val="2"/>
        <charset val="1"/>
      </rPr>
      <t>(NO USAR)</t>
    </r>
  </si>
  <si>
    <t>9900</t>
  </si>
  <si>
    <t>ACTIVIDADES DE ORGANIZACIONES Y ÓRGANOS EXTRATERRITORIALES</t>
  </si>
  <si>
    <t>0000</t>
  </si>
  <si>
    <t>Ok</t>
  </si>
  <si>
    <t>0100</t>
  </si>
  <si>
    <t>El sistema no puede responder su solicitud. Intente nuevamente o comuníquese con su Administrador</t>
  </si>
  <si>
    <t>El encabezado de seguridad es incorrecto</t>
  </si>
  <si>
    <t>Usuario o contraseña incorrectos</t>
  </si>
  <si>
    <t>El Usuario ingresado no existe</t>
  </si>
  <si>
    <t>0104</t>
  </si>
  <si>
    <t>La Clave ingresada es incorrecta</t>
  </si>
  <si>
    <t>0105</t>
  </si>
  <si>
    <t>El Usuario no está activo</t>
  </si>
  <si>
    <t>0106</t>
  </si>
  <si>
    <t>El Usuario no es válido</t>
  </si>
  <si>
    <t>0109</t>
  </si>
  <si>
    <t>El sistema no puede responder su solicitud. (El servicio de autenticación no está disponible)</t>
  </si>
  <si>
    <t>No se pudo obtener la informacion del tipo de usuario</t>
  </si>
  <si>
    <t>No tiene el perfil para enviar comprobantes electronicos</t>
  </si>
  <si>
    <t>El usuario debe ser secundario</t>
  </si>
  <si>
    <t>El usuario no esta afiliado a Factura Electronica</t>
  </si>
  <si>
    <t>No se pudo obtener la constancia</t>
  </si>
  <si>
    <t>El ticket no le pertenece al usuario</t>
  </si>
  <si>
    <t>El ticket no existe</t>
  </si>
  <si>
    <t>El sistema no puede responder su solicitud. (No se pudo obtener el ticket de proceso)</t>
  </si>
  <si>
    <t>0131</t>
  </si>
  <si>
    <t>El sistema no puede responder su solicitud. (No se pudo grabar el archivo en el directorio)</t>
  </si>
  <si>
    <t>0132</t>
  </si>
  <si>
    <t>El sistema no puede responder su solicitud. (No se pudo grabar escribir en el archivo zip)</t>
  </si>
  <si>
    <t>0133</t>
  </si>
  <si>
    <t>El sistema no puede responder su solicitud. (No se pudo grabar la entrada del log)</t>
  </si>
  <si>
    <t>0134</t>
  </si>
  <si>
    <t>El sistema no puede responder su solicitud. (No se pudo grabar en el storage)</t>
  </si>
  <si>
    <t>0135</t>
  </si>
  <si>
    <t>El sistema no puede responder su solicitud. (No se pudo encolar el pedido)</t>
  </si>
  <si>
    <t>0136</t>
  </si>
  <si>
    <t>El sistema no puede responder su solicitud. (No se pudo recibir una respuesta del batch)</t>
  </si>
  <si>
    <t>0137</t>
  </si>
  <si>
    <t>El sistema no puede responder su solicitud. (Se obtuvo una respuesta nula)</t>
  </si>
  <si>
    <t>0138</t>
  </si>
  <si>
    <t>El sistema no puede responder su solicitud. (Error en Base de Datos)</t>
  </si>
  <si>
    <t>0151</t>
  </si>
  <si>
    <t>El nombre del archivo ZIP es incorrecto</t>
  </si>
  <si>
    <t>0152</t>
  </si>
  <si>
    <t>No se puede enviar por este método un archivo de resumen</t>
  </si>
  <si>
    <t>0153</t>
  </si>
  <si>
    <t>No se puede enviar por este método un archivo por lotes</t>
  </si>
  <si>
    <t>0154</t>
  </si>
  <si>
    <t>El RUC del archivo no corresponde al RUC del usuario o el proveedor no esta autorizado a enviar comprobantes del contribuyente</t>
  </si>
  <si>
    <t>0155</t>
  </si>
  <si>
    <t>El archivo ZIP esta vacio</t>
  </si>
  <si>
    <t>0156</t>
  </si>
  <si>
    <t>El archivo ZIP esta corrupto</t>
  </si>
  <si>
    <t>0157</t>
  </si>
  <si>
    <t>El archivo ZIP no contiene comprobantes</t>
  </si>
  <si>
    <t>0158</t>
  </si>
  <si>
    <t>El archivo ZIP contiene demasiados comprobantes para este tipo de envío</t>
  </si>
  <si>
    <t>0159</t>
  </si>
  <si>
    <t>El nombre del archivo XML es incorrecto</t>
  </si>
  <si>
    <t>0160</t>
  </si>
  <si>
    <t>El archivo XML esta vacio</t>
  </si>
  <si>
    <t>El nombre del archivo XML no coincide con el nombre del archivo ZIP</t>
  </si>
  <si>
    <t>No se pudo procesar su solicitud. (Ocurrio un error en el batch)</t>
  </si>
  <si>
    <t>No se pudo procesar su solicitud. (Llego un requerimiento nulo al batch)</t>
  </si>
  <si>
    <t>No se pudo procesar su solicitud. (No llego información del archivo ZIP)</t>
  </si>
  <si>
    <t>No se pudo procesar su solicitud. (No se encontro archivos en la informacion del archivo ZIP)</t>
  </si>
  <si>
    <t>No se pudo procesar su solicitud. (Este tipo de requerimiento solo acepta 1 archivo)</t>
  </si>
  <si>
    <t>0250</t>
  </si>
  <si>
    <t>No se pudo procesar su solicitud. (Ocurrio un error desconocido al hacer unzip)</t>
  </si>
  <si>
    <t>0251</t>
  </si>
  <si>
    <t>No se pudo procesar su solicitud. (No se pudo crear un directorio para el unzip)</t>
  </si>
  <si>
    <t>0252</t>
  </si>
  <si>
    <t>No se pudo procesar su solicitud. (No se encontro archivos dentro del zip)</t>
  </si>
  <si>
    <t>0253</t>
  </si>
  <si>
    <t>No se pudo procesar su solicitud. (No se pudo comprimir la constancia)</t>
  </si>
  <si>
    <t>0300</t>
  </si>
  <si>
    <t>No se encontró la raíz documento xml</t>
  </si>
  <si>
    <t>Elemento raiz del xml no esta definido</t>
  </si>
  <si>
    <t>Codigo del tipo de comprobante no registrado</t>
  </si>
  <si>
    <t>No existe el directorio de schemas</t>
  </si>
  <si>
    <t>0304</t>
  </si>
  <si>
    <t>No existe el archivo de schema</t>
  </si>
  <si>
    <t>0305</t>
  </si>
  <si>
    <t>El sistema no puede procesar el archivo xml</t>
  </si>
  <si>
    <t>0306</t>
  </si>
  <si>
    <t>No se puede leer (parsear) el archivo XML</t>
  </si>
  <si>
    <t>0307</t>
  </si>
  <si>
    <t>No se pudo recuperar la constancia</t>
  </si>
  <si>
    <t>0400</t>
  </si>
  <si>
    <t>No tiene permiso para enviar casos de pruebas</t>
  </si>
  <si>
    <t>El caso de prueba no existe</t>
  </si>
  <si>
    <t>0402</t>
  </si>
  <si>
    <t>La numeracion o nombre del documento ya ha sido enviado anteriormente</t>
  </si>
  <si>
    <t>0403</t>
  </si>
  <si>
    <t>El documento afectado por la nota no existe</t>
  </si>
  <si>
    <t>0404</t>
  </si>
  <si>
    <t>El documento afectado por la nota se encuentra rechazado</t>
  </si>
  <si>
    <t>ID - El dato SERIE-CORRELATIVO no cumple con el formato de acuerdo al tipo de comprobante</t>
  </si>
  <si>
    <t>El XML no contiene informacion en el tag ID</t>
  </si>
  <si>
    <t>InvoiceTypeCode - El valor del tipo de documento es invalido o no coincide con el nombre del archivo</t>
  </si>
  <si>
    <t>El XML no contiene el tag o no existe informacion de InvoiceTypeCode</t>
  </si>
  <si>
    <t>CustomerAssignedAccountID -  El dato ingresado no cumple con el estandar</t>
  </si>
  <si>
    <t>1006</t>
  </si>
  <si>
    <t>El XML no contiene el tag o no existe informacion de CustomerAssignedAccountID del emisor del documento</t>
  </si>
  <si>
    <t>1007</t>
  </si>
  <si>
    <t>El dato ingresado no cumple con el estandar</t>
  </si>
  <si>
    <t>1008</t>
  </si>
  <si>
    <t>El XML no contiene el tag o no existe informacion en tipo de documento del emisor.</t>
  </si>
  <si>
    <t>1009</t>
  </si>
  <si>
    <t>IssueDate - El dato ingresado  no cumple con el patron YYYY-MM-DD</t>
  </si>
  <si>
    <t>El XML no contiene el tag IssueDate</t>
  </si>
  <si>
    <t>1011</t>
  </si>
  <si>
    <t>IssueDate- El dato ingresado no es valido</t>
  </si>
  <si>
    <t>1012</t>
  </si>
  <si>
    <t>ID - El dato ingresado no cumple con el patron SERIE-CORRELATIVO</t>
  </si>
  <si>
    <t>1013</t>
  </si>
  <si>
    <t>1014</t>
  </si>
  <si>
    <t>CustomerAssignedAccountID - El dato ingresado no cumple con el estandar</t>
  </si>
  <si>
    <t>1015</t>
  </si>
  <si>
    <t>AdditionalAccountID - El dato ingresado no cumple con el estandar</t>
  </si>
  <si>
    <t>1017</t>
  </si>
  <si>
    <t>El XML no contiene el tag AdditionalAccountID del emisor del documento</t>
  </si>
  <si>
    <t>1018</t>
  </si>
  <si>
    <t>IssueDate - El dato ingresado no cumple con el patron YYYY-MM-DD</t>
  </si>
  <si>
    <t>1019</t>
  </si>
  <si>
    <t>1021</t>
  </si>
  <si>
    <t>Error en la validacion de la nota de credito</t>
  </si>
  <si>
    <t>1022</t>
  </si>
  <si>
    <t>La serie o numero del documento modificado por la Nota Electrónica no cumple con el formato establecido</t>
  </si>
  <si>
    <t>1023</t>
  </si>
  <si>
    <t>No se ha especificado el tipo de documento modificado por la Nota electronica</t>
  </si>
  <si>
    <t>1024</t>
  </si>
  <si>
    <t>1025</t>
  </si>
  <si>
    <t>1026</t>
  </si>
  <si>
    <t>1027</t>
  </si>
  <si>
    <t>1028</t>
  </si>
  <si>
    <t>1029</t>
  </si>
  <si>
    <t>1031</t>
  </si>
  <si>
    <t>Error en la validacion de la nota de debito</t>
  </si>
  <si>
    <t>1032</t>
  </si>
  <si>
    <t>El comprobante ya esta informado y se encuentra con estado anulado o rechazado</t>
  </si>
  <si>
    <t>1033</t>
  </si>
  <si>
    <t>El comprobante fue registrado previamente con otros datos</t>
  </si>
  <si>
    <t>1034</t>
  </si>
  <si>
    <t>Número de RUC del nombre del archivo no coincide con el consignado en el contenido del archivo XML</t>
  </si>
  <si>
    <t>1035</t>
  </si>
  <si>
    <t>Numero de Serie del nombre del archivo no coincide con el consignado en el contenido del archivo XML</t>
  </si>
  <si>
    <t>1036</t>
  </si>
  <si>
    <t>Número de documento en el nombre del archivo no coincide con el consignado en el contenido del XML</t>
  </si>
  <si>
    <t>1037</t>
  </si>
  <si>
    <t>El XML no contiene el tag o no existe informacion de RegistrationName del emisor del documento</t>
  </si>
  <si>
    <t>1038</t>
  </si>
  <si>
    <t>RegistrationName - El nombre o razon social del emisor no cumple con el estandar</t>
  </si>
  <si>
    <t>1039</t>
  </si>
  <si>
    <t>Solo se pueden recibir notas electronicas que modifican facturas</t>
  </si>
  <si>
    <t>El tipo de documento modificado por la nota electronica no es valido</t>
  </si>
  <si>
    <t>1041</t>
  </si>
  <si>
    <t>cac:PrepaidPayment/cbc:ID - El tag no contiene el atributo @SchemaID. que indica el tipo de documento que realiza el anticipo</t>
  </si>
  <si>
    <t>1042</t>
  </si>
  <si>
    <t>cac:PrepaidPayment/cbc:InstructionID – El tag no contiene el atributo @SchemaID. Que indica el tipo de documento del emisor del documento del anticipo.</t>
  </si>
  <si>
    <t>1043</t>
  </si>
  <si>
    <t>cac:OriginatorDocumentReference/cbc:ID - El tag no contiene el atributo @SchemaID. Que indica el tipo de documento del originador del documento electrónico.</t>
  </si>
  <si>
    <t>1044</t>
  </si>
  <si>
    <t>cac:PrepaidPayment/cbc:InstructionID – El dato ingresado no cumple con el estándar.</t>
  </si>
  <si>
    <t>1045</t>
  </si>
  <si>
    <t>cac:OriginatorDocumentReference/cbc:ID – El dato ingresado no cumple con el estándar.</t>
  </si>
  <si>
    <t>1046</t>
  </si>
  <si>
    <t>cbc:Amount - El dato ingresado no cumple con el estándar.</t>
  </si>
  <si>
    <t>1047</t>
  </si>
  <si>
    <t>cbc:Quantity - El dato ingresado no cumple con el estándar.</t>
  </si>
  <si>
    <t>1048</t>
  </si>
  <si>
    <t>El XML no contiene el tag o no existe información de PrepaidAmount para un documento con anticipo.</t>
  </si>
  <si>
    <t>1049</t>
  </si>
  <si>
    <t>ID - Serie y Número del archivo no coincide con el consignado en el contenido del XML.</t>
  </si>
  <si>
    <t>El XML no contiene informacion en el tag DespatchAdviceTypeCode.</t>
  </si>
  <si>
    <t>1051</t>
  </si>
  <si>
    <t>DespatchAdviceTypeCode - El valor del tipo de guía es inválido.</t>
  </si>
  <si>
    <t>1052</t>
  </si>
  <si>
    <t>DespatchAdviceTypeCode - No coincide con el consignado en el contenido del XML.</t>
  </si>
  <si>
    <t>1053</t>
  </si>
  <si>
    <t>cac:OrderReference - El XML no contiene informacion en serie y numero dado de baja (cbc:ID).</t>
  </si>
  <si>
    <t>1054</t>
  </si>
  <si>
    <t>cac:OrderReference - El valor en numero de documento no cumple con un formato valido (SERIE-NUMERO).</t>
  </si>
  <si>
    <t>1055</t>
  </si>
  <si>
    <t>cac:OrderReference - Numero de serie del documento no cumple con un formato valido (EG01 ó TXXX).</t>
  </si>
  <si>
    <t>1056</t>
  </si>
  <si>
    <t>cac:OrderReference - El XML no contiene informacion en el código de tipo de documento (cbc:OrderTypeCode).</t>
  </si>
  <si>
    <t>1057</t>
  </si>
  <si>
    <t>cac:AdditionalDocumentReference - El XML no contiene el tag o no existe información en el numero de documento adicional (cbc:ID).</t>
  </si>
  <si>
    <t>1058</t>
  </si>
  <si>
    <t>cac:AdditionalDocumentReference - El XML no contiene el tag o no existe información en el tipo de documento adicional (cbc:DocumentTypeCode).</t>
  </si>
  <si>
    <t>1059</t>
  </si>
  <si>
    <t>El XML no contiene firma digital.</t>
  </si>
  <si>
    <t>1060</t>
  </si>
  <si>
    <t>cac:Shipment - El XML no contiene el tag o no existe informacion del numero de RUC del Remitente (cac:).</t>
  </si>
  <si>
    <t>El numero de RUC del Remitente no existe.</t>
  </si>
  <si>
    <t>El XML no contiene el atributo o no existe informacion del motivo de traslado.</t>
  </si>
  <si>
    <t>1063</t>
  </si>
  <si>
    <t>El valor ingresado como motivo de traslado no es valido.</t>
  </si>
  <si>
    <t>1064</t>
  </si>
  <si>
    <t>El XML no contiene el atributo o no existe informacion en el tag cac:DespatchLine de bienes a transportar.</t>
  </si>
  <si>
    <t>1065</t>
  </si>
  <si>
    <t>El XML no contiene el atributo o no existe informacion en modalidad de transporte.</t>
  </si>
  <si>
    <t>1066</t>
  </si>
  <si>
    <t>El XML no contiene el atributo o no existe informacion de datos del transportista.</t>
  </si>
  <si>
    <t>1067</t>
  </si>
  <si>
    <t>El XML no contiene el atributo o no existe información de vehiculos.</t>
  </si>
  <si>
    <t>1068</t>
  </si>
  <si>
    <t>El XML no contiene el atributo o no existe información de conductores.</t>
  </si>
  <si>
    <t>1069</t>
  </si>
  <si>
    <t>El XML no contiene el atributo o no existe información de la fecha de inicio de traslado o fecha de entrega del bien al transportista.</t>
  </si>
  <si>
    <t>1070</t>
  </si>
  <si>
    <t>El valor ingresado  como fecha de inicio o fecha de entrega al transportista no cumple con el estandar (YYYY-MM-DD).</t>
  </si>
  <si>
    <t>El valor ingresado  como fecha de inicio o fecha de entrega al transportista no es valido.</t>
  </si>
  <si>
    <t>Starttime - El dato ingresado  no cumple con el patron HH:mm:ss.SZ.</t>
  </si>
  <si>
    <t>StartTime - El dato ingresado no es valido.</t>
  </si>
  <si>
    <t>cac:Shipment - El XML no contiene o no existe información en punto de llegada (cac:DeliveryAddress).</t>
  </si>
  <si>
    <t>cac:Shipment - El XML no contiene o no existe información en punto de partida (cac:OriginAddress).</t>
  </si>
  <si>
    <t>1076</t>
  </si>
  <si>
    <t>El XML no contiene el atributo o no existe información de sustento de traslado de mercaderias para el tipo de operación.</t>
  </si>
  <si>
    <t>1077</t>
  </si>
  <si>
    <t>El XML contiene el tag de sustento de traslado de mercaderias que no corresponde al tipo de operación.</t>
  </si>
  <si>
    <t>1078</t>
  </si>
  <si>
    <t>El emisor no se encuentra autorizado a emitir en el SEE-Desde los sistemas del contribuyente</t>
  </si>
  <si>
    <t>Solo puede enviar el comprobante en un resumen diario</t>
  </si>
  <si>
    <t>No puede enviar 'Recibos de servicios publicos' y sus notas asociadas por SEE-Desde los sistemas del contribuyente</t>
  </si>
  <si>
    <t>El Numero de RUC del emisor no existe</t>
  </si>
  <si>
    <t>El contribuyente no esta activo</t>
  </si>
  <si>
    <t>El contribuyente no esta habido</t>
  </si>
  <si>
    <t>El contribuyente no está autorizado a emitir comprobantes electrónicos</t>
  </si>
  <si>
    <t>El contribuyente no cumple con tipo de empresa o tributos requeridos</t>
  </si>
  <si>
    <t>2014</t>
  </si>
  <si>
    <t>El XML no contiene el tag o no existe informacion del número de documento de identidad del receptor del documento</t>
  </si>
  <si>
    <t>2015</t>
  </si>
  <si>
    <t>El XML no contiene el tag o no existe informacion del tipo de documento de identidad del receptor del documento</t>
  </si>
  <si>
    <t>2016</t>
  </si>
  <si>
    <t>El dato ingresado  en el tipo de documento de identidad del receptor no cumple con el estandar o no esta permitido.</t>
  </si>
  <si>
    <t>2017</t>
  </si>
  <si>
    <t>El numero de documento de identidad del receptor debe ser  RUC</t>
  </si>
  <si>
    <t>2018</t>
  </si>
  <si>
    <t>2019</t>
  </si>
  <si>
    <t>El XML no contiene el tag o no existe informacion de nombre o razon social del emisor del documento</t>
  </si>
  <si>
    <t>2020</t>
  </si>
  <si>
    <t>El nombre o razon social del emisor no cumple con el estandar</t>
  </si>
  <si>
    <t>El XML no contiene el tag o no existe informacion de RegistrationName del receptor del documento</t>
  </si>
  <si>
    <t>RegistrationName -  El dato ingresado no cumple con el estandar</t>
  </si>
  <si>
    <t>El Numero de orden del item no cumple con el formato establecido</t>
  </si>
  <si>
    <t>2024</t>
  </si>
  <si>
    <t>El XML no contiene el tag InvoicedQuantity en el detalle de los Items o es cero (0)</t>
  </si>
  <si>
    <t>2025</t>
  </si>
  <si>
    <t>InvoicedQuantity El dato ingresado no cumple con el estandar</t>
  </si>
  <si>
    <t>2026</t>
  </si>
  <si>
    <t>El XML no contiene el tag cac:Item/cbc:Description en el detalle de los Items</t>
  </si>
  <si>
    <t>2027</t>
  </si>
  <si>
    <t>El XML no contiene el tag o no existe informacion de cac:Item/cbc:Description del item</t>
  </si>
  <si>
    <t>2028</t>
  </si>
  <si>
    <t>Debe existir el tag cac:AlternativeConditionPrice</t>
  </si>
  <si>
    <t>PriceTypeCode El dato ingresado no cumple con el estandar</t>
  </si>
  <si>
    <t>El XML no contiene el tag cbc:PriceTypeCode</t>
  </si>
  <si>
    <t>2031</t>
  </si>
  <si>
    <t>El dato ingresado en total valor de venta no cumple con el estandar</t>
  </si>
  <si>
    <t>2032</t>
  </si>
  <si>
    <t>El XML no contiene el tag LineExtensionAmount en el detalle de los Items</t>
  </si>
  <si>
    <t>2033</t>
  </si>
  <si>
    <t>El dato ingresado en TaxAmount de la linea no cumple con el formato establecido</t>
  </si>
  <si>
    <t>2034</t>
  </si>
  <si>
    <t>TaxAmount es obligatorio</t>
  </si>
  <si>
    <t>2035</t>
  </si>
  <si>
    <t>cac:TaxCategory/cac:TaxScheme/cbc:ID El dato ingresado no cumple con el estandar</t>
  </si>
  <si>
    <t>2036</t>
  </si>
  <si>
    <t>El codigo del tributo es invalido</t>
  </si>
  <si>
    <t>2037</t>
  </si>
  <si>
    <t>El XML no contiene el tag cac:TaxCategory/cac:TaxScheme/cbc:ID del Item</t>
  </si>
  <si>
    <t>2038</t>
  </si>
  <si>
    <t>cac:TaxScheme/cbc:Name del item - No existe el tag o el dato ingresado no cumple con el estandar</t>
  </si>
  <si>
    <t>2039</t>
  </si>
  <si>
    <t>El XML no contiene el tag cac:TaxCategory/cac:TaxScheme/cbc:Name del Item</t>
  </si>
  <si>
    <t>2040</t>
  </si>
  <si>
    <t>El tipo de afectacion del IGV es incorrecto</t>
  </si>
  <si>
    <t>2041</t>
  </si>
  <si>
    <t>El sistema de calculo del ISC es incorrecto</t>
  </si>
  <si>
    <t>2042</t>
  </si>
  <si>
    <t>Debe indicar el IGV. Es un campo obligatorio</t>
  </si>
  <si>
    <t>2043</t>
  </si>
  <si>
    <t>El dato ingresado en PayableAmount no cumple con el formato establecido</t>
  </si>
  <si>
    <t>2044</t>
  </si>
  <si>
    <t>PayableAmount es obligatorio</t>
  </si>
  <si>
    <t>2045</t>
  </si>
  <si>
    <t>El valor ingresado en AdditionalMonetaryTotal/cbc:ID es incorrecto</t>
  </si>
  <si>
    <t>2046</t>
  </si>
  <si>
    <t>AdditionalMonetaryTotal/cbc:ID debe tener valor</t>
  </si>
  <si>
    <t>2047</t>
  </si>
  <si>
    <t>Es obligatorio al menos un AdditionalMonetaryTotal con codigo 1001, 1002, 1003 o 3001</t>
  </si>
  <si>
    <t>2048</t>
  </si>
  <si>
    <t>El dato ingresado en TaxAmount no cumple con el formato establecido</t>
  </si>
  <si>
    <t>2049</t>
  </si>
  <si>
    <t>2050</t>
  </si>
  <si>
    <t>TaxScheme ID - No existe el tag o el dato ingresado no cumple con el estandar</t>
  </si>
  <si>
    <t>2051</t>
  </si>
  <si>
    <t>2052</t>
  </si>
  <si>
    <t>El XML no contiene el tag código de tributo internacional de impuestos globales</t>
  </si>
  <si>
    <t>2053</t>
  </si>
  <si>
    <t>TaxScheme Name - No existe el tag o el dato ingresado no cumple con el estandar</t>
  </si>
  <si>
    <t>2054</t>
  </si>
  <si>
    <t>El XML no contiene el tag TaxScheme Name de impuestos globales</t>
  </si>
  <si>
    <t>2055</t>
  </si>
  <si>
    <t>TaxScheme TaxTypeCode - El dato ingresado no cumple con el estandar</t>
  </si>
  <si>
    <t>2056</t>
  </si>
  <si>
    <t>El XML no contiene el tag TaxScheme TaxTypeCode de impuestos globales</t>
  </si>
  <si>
    <t>2057</t>
  </si>
  <si>
    <t>El Name o TaxTypeCode debe corresponder con el Id para el IGV</t>
  </si>
  <si>
    <t>2058</t>
  </si>
  <si>
    <t>El Name o TaxTypeCode debe corresponder con el Id para el ISC</t>
  </si>
  <si>
    <t>2059</t>
  </si>
  <si>
    <t>El dato ingresado en TaxSubtotal/cbc:TaxAmount no cumple con el formato establecido</t>
  </si>
  <si>
    <t>2060</t>
  </si>
  <si>
    <t>TaxSubtotal/cbc:TaxAmount es obligatorio</t>
  </si>
  <si>
    <t>2061</t>
  </si>
  <si>
    <t>El tag global cac:TaxTotal/cbc:TaxAmount debe tener el mismo valor que cac:TaxTotal/cac:Subtotal/cbc:TaxAmount</t>
  </si>
  <si>
    <t>2062</t>
  </si>
  <si>
    <t>2063</t>
  </si>
  <si>
    <t>El XML no contiene el tag PayableAmount</t>
  </si>
  <si>
    <t>2064</t>
  </si>
  <si>
    <t>El dato ingresado en ChargeTotalAmount no cumple con el formato establecido</t>
  </si>
  <si>
    <t>2065</t>
  </si>
  <si>
    <t>El dato ingresado en el campo Total Descuentos no cumple con el formato establecido</t>
  </si>
  <si>
    <t>2066</t>
  </si>
  <si>
    <t>Debe indicar una descripcion para el tag sac:AdditionalProperty/cbc:Value</t>
  </si>
  <si>
    <t>2067</t>
  </si>
  <si>
    <t>cac:Price/cbc:PriceAmount - El dato ingresado no cumple con el estandar</t>
  </si>
  <si>
    <t>2068</t>
  </si>
  <si>
    <t>El XML no contiene el tag cac:Price/cbc:PriceAmount en el detalle de los Items</t>
  </si>
  <si>
    <t>2069</t>
  </si>
  <si>
    <t>DocumentCurrencyCode - El dato ingresado no cumple con la estructura</t>
  </si>
  <si>
    <t>2070</t>
  </si>
  <si>
    <t>El XML no contiene el tag o no existe informacion de DocumentCurrencyCode</t>
  </si>
  <si>
    <t>2071</t>
  </si>
  <si>
    <t>La moneda debe ser la misma en todo el documento. Salvo las percepciones que sólo son en moneda nacional.</t>
  </si>
  <si>
    <t>2072</t>
  </si>
  <si>
    <t>CustomizationID - La versión del documento no es la correcta</t>
  </si>
  <si>
    <t>2073</t>
  </si>
  <si>
    <t>El XML no existe informacion de CustomizationID</t>
  </si>
  <si>
    <t>2074</t>
  </si>
  <si>
    <t>UBLVersionID - La versión del UBL no es correcta</t>
  </si>
  <si>
    <t>2075</t>
  </si>
  <si>
    <t>El XML no contiene el tag o no existe informacion de UBLVersionID</t>
  </si>
  <si>
    <t>2076</t>
  </si>
  <si>
    <t>cac:Signature/cbc:ID - Falta el identificador de la firma</t>
  </si>
  <si>
    <t>2077</t>
  </si>
  <si>
    <t>El tag cac:Signature/cbc:ID debe contener informacion</t>
  </si>
  <si>
    <t>2078</t>
  </si>
  <si>
    <t>cac:Signature/cac:SignatoryParty/cac:PartyIdentification/cbc:ID - Debe ser igual al RUC del emisor</t>
  </si>
  <si>
    <t>2079</t>
  </si>
  <si>
    <t>El XML no contiene el tag cac:Signature/cac:SignatoryParty/cac:PartyIdentification/cbc:ID</t>
  </si>
  <si>
    <t>2080</t>
  </si>
  <si>
    <t>cac:Signature/cac:SignatoryParty/cac:PartyName/cbc:Name - No cumple con el estandar</t>
  </si>
  <si>
    <t>2081</t>
  </si>
  <si>
    <t>El XML no contiene el tag cac:Signature/cac:SignatoryParty/cac:PartyName/cbc:Name</t>
  </si>
  <si>
    <t>2082</t>
  </si>
  <si>
    <t>cac:Signature/cac:DigitalSignatureAttachment/cac:ExternalReference/cbc:URI - No cumple con el estandar</t>
  </si>
  <si>
    <t>2083</t>
  </si>
  <si>
    <t>El XML no contiene el tag cac:Signature/cac:DigitalSignatureAttachment/cac:ExternalReference/cbc:URI</t>
  </si>
  <si>
    <t>2084</t>
  </si>
  <si>
    <t>ext:UBLExtensions/ext:UBLExtension/ext:ExtensionContent/ds:Signature/@Id - No cumple con el estandar</t>
  </si>
  <si>
    <t>2085</t>
  </si>
  <si>
    <t>El XML no contiene el tag ext:UBLExtensions/ext:UBLExtension/ext:ExtensionContent/ds:Signature/@Id</t>
  </si>
  <si>
    <t>2086</t>
  </si>
  <si>
    <t>ext:UBLExtensions/.../ds:Signature/ds:SignedInfo/ds:CanonicalizationMethod/@Algorithm - No cumple con el estandar</t>
  </si>
  <si>
    <t>2087</t>
  </si>
  <si>
    <t>El XML no contiene el tag ext:UBLExtensions/.../ds:Signature/ds:SignedInfo/ds:CanonicalizationMethod/@Algorithm</t>
  </si>
  <si>
    <t>2088</t>
  </si>
  <si>
    <t>ext:UBLExtensions/.../ds:Signature/ds:SignedInfo/ds:SignatureMethod/@Algorithm - No cumple con el estandar</t>
  </si>
  <si>
    <t>2089</t>
  </si>
  <si>
    <t>El XML no contiene el tag ext:UBLExtensions/.../ds:Signature/ds:SignedInfo/ds:SignatureMethod/@Algorithm</t>
  </si>
  <si>
    <t>2090</t>
  </si>
  <si>
    <t>ext:UBLExtensions/.../ds:Signature/ds:SignedInfo/ds:Reference/@URI - Debe estar vacio para id</t>
  </si>
  <si>
    <t>2091</t>
  </si>
  <si>
    <t>El XML no contiene el tag ext:UBLExtensions/.../ds:Signature/ds:SignedInfo/ds:Reference/@URI</t>
  </si>
  <si>
    <t>2092</t>
  </si>
  <si>
    <t>ext:UBLExtensions/.../ds:Signature/ds:SignedInfo/.../ds:Transform@Algorithm - No cumple con el estandar</t>
  </si>
  <si>
    <t>2093</t>
  </si>
  <si>
    <t>El XML no contiene el tag ext:UBLExtensions/.../ds:Signature/ds:SignedInfo/ds:Reference/ds:Transform@Algorithm</t>
  </si>
  <si>
    <t>2094</t>
  </si>
  <si>
    <t>ext:UBLExtensions/.../ds:Signature/ds:SignedInfo/ds:Reference/ds:DigestMethod/@Algorithm - No cumple con el estandar</t>
  </si>
  <si>
    <t>2095</t>
  </si>
  <si>
    <t>El XML no contiene el tag ext:UBLExtensions/.../ds:Signature/ds:SignedInfo/ds:Reference/ds:DigestMethod/@Algorithm</t>
  </si>
  <si>
    <t>2096</t>
  </si>
  <si>
    <t>ext:UBLExtensions/.../ds:Signature/ds:SignedInfo/ds:Reference/ds:DigestValue - No  cumple con el estandar</t>
  </si>
  <si>
    <t>2097</t>
  </si>
  <si>
    <t>El XML no contiene el tag ext:UBLExtensions/.../ds:Signature/ds:SignedInfo/ds:Reference/ds:DigestValue</t>
  </si>
  <si>
    <t>2098</t>
  </si>
  <si>
    <t>ext:UBLExtensions/.../ds:Signature/ds:SignatureValue - No cumple con el estandar</t>
  </si>
  <si>
    <t>2099</t>
  </si>
  <si>
    <t>El XML no contiene el tag ext:UBLExtensions/.../ds:Signature/ds:SignatureValue</t>
  </si>
  <si>
    <t>ext:UBLExtensions/.../ds:Signature/ds:KeyInfo/ds:X509Data/ds:X509Certificate - No cumple con el estandar</t>
  </si>
  <si>
    <t>El XML no contiene el tag ext:UBLExtensions/.../ds:Signature/ds:KeyInfo/ds:X509Data/ds:X509Certificate</t>
  </si>
  <si>
    <t>Error al procesar la factura</t>
  </si>
  <si>
    <t>La serie ingresada no es válida</t>
  </si>
  <si>
    <t>Numero de RUC del emisor no existe</t>
  </si>
  <si>
    <t>2105</t>
  </si>
  <si>
    <t>Comprobante a dar de baja no se encuentra registrado en SUNAT</t>
  </si>
  <si>
    <t>2106</t>
  </si>
  <si>
    <t>Factura a dar de baja ya se encuentra en estado de baja</t>
  </si>
  <si>
    <t>2107</t>
  </si>
  <si>
    <t>Numero de RUC SOL no coincide con RUC emisor</t>
  </si>
  <si>
    <t>2108</t>
  </si>
  <si>
    <t>Presentacion fuera de fecha</t>
  </si>
  <si>
    <t>2109</t>
  </si>
  <si>
    <t>2110</t>
  </si>
  <si>
    <t>2111</t>
  </si>
  <si>
    <t>2112</t>
  </si>
  <si>
    <t>CustomizationID - La version del documento no es correcta</t>
  </si>
  <si>
    <t>2113</t>
  </si>
  <si>
    <t>El XML no contiene el tag o no existe informacion de CustomizationID</t>
  </si>
  <si>
    <t>2114</t>
  </si>
  <si>
    <t>DocumentCurrencyCode -  El dato ingresado no cumple con la estructura</t>
  </si>
  <si>
    <t>2115</t>
  </si>
  <si>
    <t>2116</t>
  </si>
  <si>
    <t>El tipo de documento modificado por la Nota de credito debe ser factura electronica o ticket</t>
  </si>
  <si>
    <t>2117</t>
  </si>
  <si>
    <t>La serie o numero del documento modificado por la Nota de Credito no cumple con el formato establecido</t>
  </si>
  <si>
    <t>2118</t>
  </si>
  <si>
    <t>Debe indicar las facturas relacionadas a la Nota de Credito</t>
  </si>
  <si>
    <t>2119</t>
  </si>
  <si>
    <t>El documento modificado en la Nota de credito no esta registrada.</t>
  </si>
  <si>
    <t>2120</t>
  </si>
  <si>
    <t>El documento modificado en la Nota de credito se encuentra de baja</t>
  </si>
  <si>
    <t>2121</t>
  </si>
  <si>
    <t>El documento modificado en la Nota de credito esta registrada como rechazada</t>
  </si>
  <si>
    <t>2122</t>
  </si>
  <si>
    <t>El tag cac:LegalMonetaryTotal/cbc:PayableAmount debe tener informacion valida</t>
  </si>
  <si>
    <t>2123</t>
  </si>
  <si>
    <t>2124</t>
  </si>
  <si>
    <t>El XML no contiene el tag RegistrationName del emisor del documento</t>
  </si>
  <si>
    <t>2125</t>
  </si>
  <si>
    <t>ReferenceID -  El dato ingresado debe indicar SERIE-CORRELATIVO del documento al que se relaciona la Nota</t>
  </si>
  <si>
    <t>2126</t>
  </si>
  <si>
    <t>El XML no contiene informacion en el tag ReferenceID del documento al que se relaciona la nota</t>
  </si>
  <si>
    <t>2127</t>
  </si>
  <si>
    <t>ResponseCode -  El dato ingresado no cumple  con  la  estructura</t>
  </si>
  <si>
    <t>2128</t>
  </si>
  <si>
    <t>El XML no contiene el tag o no existe informacion de ResponseCode</t>
  </si>
  <si>
    <t>2129</t>
  </si>
  <si>
    <t>AdditionalAccountID -  El dato ingresado  en el tipo de documento de identidad del receptor no cumple con el estandar</t>
  </si>
  <si>
    <t>2130</t>
  </si>
  <si>
    <t>El XML no contiene el tag o no existe informacion de AdditionalAccountID del receptor del documento</t>
  </si>
  <si>
    <t>2131</t>
  </si>
  <si>
    <t>CustomerAssignedAccountID - El numero de documento de identidad del receptor debe ser RUC</t>
  </si>
  <si>
    <t>2132</t>
  </si>
  <si>
    <t>El XML no contiene el tag o no existe informacion de CustomerAssignedAccountID del receptor del documento</t>
  </si>
  <si>
    <t>2133</t>
  </si>
  <si>
    <t>2134</t>
  </si>
  <si>
    <t>2135</t>
  </si>
  <si>
    <t>cac:DiscrepancyResponse/cbc:Description - El dato ingresado no cumple con la estructura</t>
  </si>
  <si>
    <t>2136</t>
  </si>
  <si>
    <t>El XML no contiene el tag o no existe informacion de cac:DiscrepancyResponse/cbc:Description</t>
  </si>
  <si>
    <t>2137</t>
  </si>
  <si>
    <t>2138</t>
  </si>
  <si>
    <t>CreditedQuantity/@unitCode - El dato ingresado no cumple con el estandar</t>
  </si>
  <si>
    <t>2139</t>
  </si>
  <si>
    <t>CreditedQuantity - El dato ingresado no cumple con el estandar</t>
  </si>
  <si>
    <t>2140</t>
  </si>
  <si>
    <t>El PriceTypeCode debe tener el valor 01</t>
  </si>
  <si>
    <t>2141</t>
  </si>
  <si>
    <t>cac:TaxCategory/cac:TaxScheme/cbc:ID - El dato ingresado no cumple con el estandar</t>
  </si>
  <si>
    <t>2142</t>
  </si>
  <si>
    <t>2143</t>
  </si>
  <si>
    <t>2144</t>
  </si>
  <si>
    <t>cac:TaxCategory/cac:TaxScheme/cbc:TaxTypeCode El dato ingresado no cumple con el estandar</t>
  </si>
  <si>
    <t>2145</t>
  </si>
  <si>
    <t>2146</t>
  </si>
  <si>
    <t>El Nombre Internacional debe ser VAT</t>
  </si>
  <si>
    <t>2147</t>
  </si>
  <si>
    <t>2148</t>
  </si>
  <si>
    <t>El Nombre Internacional debe ser EXC</t>
  </si>
  <si>
    <t>2149</t>
  </si>
  <si>
    <t>2150</t>
  </si>
  <si>
    <t>2151</t>
  </si>
  <si>
    <t>2152</t>
  </si>
  <si>
    <t>Es obligatorio al menos un AdditionalInformation</t>
  </si>
  <si>
    <t>2153</t>
  </si>
  <si>
    <t>Error al procesar la Nota de Credito</t>
  </si>
  <si>
    <t>2154</t>
  </si>
  <si>
    <t>TaxAmount - El dato ingresado en impuestos globales no cumple con el estandar</t>
  </si>
  <si>
    <t>2155</t>
  </si>
  <si>
    <t>El XML no contiene el tag TaxAmount de impuestos globales</t>
  </si>
  <si>
    <t>2156</t>
  </si>
  <si>
    <t>TaxScheme ID - El dato ingresado no cumple con el estandar</t>
  </si>
  <si>
    <t>2157</t>
  </si>
  <si>
    <t>2158</t>
  </si>
  <si>
    <t>El XML no contiene el tag o no existe informacion de TaxScheme ID de impuestos globales</t>
  </si>
  <si>
    <t>2159</t>
  </si>
  <si>
    <t>TaxScheme Name - El dato ingresado no cumple con el estandar</t>
  </si>
  <si>
    <t>2160</t>
  </si>
  <si>
    <t>El XML no contiene el tag o no existe informacion de TaxScheme Name de impuestos globales</t>
  </si>
  <si>
    <t>2161</t>
  </si>
  <si>
    <t>2162</t>
  </si>
  <si>
    <t>2163</t>
  </si>
  <si>
    <t>2164</t>
  </si>
  <si>
    <t>2165</t>
  </si>
  <si>
    <t>Error al procesar la Nota de Debito</t>
  </si>
  <si>
    <t>2166</t>
  </si>
  <si>
    <t>RegistrationName - El dato ingresado no cumple con el estandar</t>
  </si>
  <si>
    <t>2167</t>
  </si>
  <si>
    <t>2168</t>
  </si>
  <si>
    <t>DocumentCurrencyCode -  El dato ingresado no cumple con el formato establecido</t>
  </si>
  <si>
    <t>2169</t>
  </si>
  <si>
    <t>2170</t>
  </si>
  <si>
    <t>ReferenceID - El dato ingresado debe indicar SERIE-CORRELATIVO del documento al que se relaciona la Nota</t>
  </si>
  <si>
    <t>2171</t>
  </si>
  <si>
    <t>2172</t>
  </si>
  <si>
    <t>ResponseCode - El dato ingresado no cumple con la estructura</t>
  </si>
  <si>
    <t>2173</t>
  </si>
  <si>
    <t>2174</t>
  </si>
  <si>
    <t>2175</t>
  </si>
  <si>
    <t>2176</t>
  </si>
  <si>
    <t>2177</t>
  </si>
  <si>
    <t>2178</t>
  </si>
  <si>
    <t>CustomerAssignedAccountID - El numero de documento de identidad del receptor debe ser RUC.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</si>
  <si>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</si>
  <si>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</si>
  <si>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</si>
  <si>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</si>
  <si>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</si>
  <si>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</si>
  <si>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</si>
  <si>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</si>
  <si>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</si>
  <si>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</si>
  <si>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DebitedQuantity/@unitCode El dato ingresado no cumple con el estandar</t>
  </si>
  <si>
    <t>2189</t>
  </si>
  <si>
    <t>DebitedQuantity El dato ingresado no cumple con el estandar</t>
  </si>
  <si>
    <t>2190</t>
  </si>
  <si>
    <t>El XML no contiene el tag Price/cbc:PriceAmount en el detalle de los Items</t>
  </si>
  <si>
    <t>2191</t>
  </si>
  <si>
    <t>El XML no contiene el tag Price/cbc:LineExtensionAmount en el detalle de los Items</t>
  </si>
  <si>
    <t>2192</t>
  </si>
  <si>
    <t>EL PriceTypeCode debe tener el valor 01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</si>
  <si>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</si>
  <si>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</si>
  <si>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</si>
  <si>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</si>
  <si>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</si>
  <si>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</si>
  <si>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</si>
  <si>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</si>
  <si>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</si>
  <si>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El tag cac:RequestedMonetaryTotal/cbc:PayableAmount debe tener informacion valida</t>
  </si>
  <si>
    <t>2202</t>
  </si>
  <si>
    <t>2203</t>
  </si>
  <si>
    <t>2204</t>
  </si>
  <si>
    <t>El tipo de documento modificado por la Nota de Debito debe ser factura electronica, ticket o documento autorizado</t>
  </si>
  <si>
    <t>2205</t>
  </si>
  <si>
    <t>La serie o numero del documento modificado por la Nota de Debito no cumple con el formato establecido</t>
  </si>
  <si>
    <t>2206</t>
  </si>
  <si>
    <t>Debe indicar los documentos afectados por la Nota de Debito</t>
  </si>
  <si>
    <t>2207</t>
  </si>
  <si>
    <t>El documento modificado en la Nota de debito se encuentra de baja</t>
  </si>
  <si>
    <t>2208</t>
  </si>
  <si>
    <t>El documento modificado en la Nota de debito esta registrada como rechazada</t>
  </si>
  <si>
    <t>2209</t>
  </si>
  <si>
    <t>El documento modificado en la Nota de debito no esta registrada</t>
  </si>
  <si>
    <t>2210</t>
  </si>
  <si>
    <t>El dato ingresado no cumple con el formato RC-fecha-correlativo</t>
  </si>
  <si>
    <t>El XML no contiene el tag ID</t>
  </si>
  <si>
    <t>2212</t>
  </si>
  <si>
    <t>UBLVersionID - La versión del UBL del resumen de boletas no es correcta</t>
  </si>
  <si>
    <t>2213</t>
  </si>
  <si>
    <t>El XML no contiene el tag UBLVersionID</t>
  </si>
  <si>
    <t>2214</t>
  </si>
  <si>
    <t>CustomizationID - La versión del resumen de boletas no es correcta</t>
  </si>
  <si>
    <t>2215</t>
  </si>
  <si>
    <t>El XML no contiene el tag CustomizationID</t>
  </si>
  <si>
    <t>2216</t>
  </si>
  <si>
    <t>2217</t>
  </si>
  <si>
    <t>El XML no contiene el tag CustomerAssignedAccountID del emisor del documento</t>
  </si>
  <si>
    <t>2218</t>
  </si>
  <si>
    <t>El ID debe coincidir con el nombre del archivo</t>
  </si>
  <si>
    <t>2221</t>
  </si>
  <si>
    <t>El RUC debe coincidir con el RUC del nombre del archivo</t>
  </si>
  <si>
    <t>2222</t>
  </si>
  <si>
    <t>El contribuyente no está autorizado a emitir comprobantes electronicos</t>
  </si>
  <si>
    <t>2223</t>
  </si>
  <si>
    <t>El archivo ya fue presentado anteriormente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</si>
  <si>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</si>
  <si>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</si>
  <si>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</si>
  <si>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</si>
  <si>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</si>
  <si>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</si>
  <si>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</si>
  <si>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</si>
  <si>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</si>
  <si>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</si>
  <si>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ReferenceDate - El dato ingresado no cumple con el patron YYYY-MM-DD</t>
  </si>
  <si>
    <t>2234</t>
  </si>
  <si>
    <t>El XML no contiene el tag ReferenceDate</t>
  </si>
  <si>
    <t>2235</t>
  </si>
  <si>
    <t>ReferenceDate- El dato ingresado no es valido</t>
  </si>
  <si>
    <t>2236</t>
  </si>
  <si>
    <t>La fecha del IssueDate no debe ser mayor a la fecha de recepción</t>
  </si>
  <si>
    <t>2237</t>
  </si>
  <si>
    <t>La fecha del ReferenceDate no debe ser mayor al Today</t>
  </si>
  <si>
    <t>2238</t>
  </si>
  <si>
    <t>LineID - El dato ingresado no cumple con el estandar</t>
  </si>
  <si>
    <t>2239</t>
  </si>
  <si>
    <t>LineID - El dato ingresado debe ser correlativo mayor a cero</t>
  </si>
  <si>
    <t>2240</t>
  </si>
  <si>
    <t>El XML no contiene el tag LineID de SummaryDocumentsLine</t>
  </si>
  <si>
    <t>2241</t>
  </si>
  <si>
    <t>DocumentTypeCode - El valor del tipo de documento es invalido</t>
  </si>
  <si>
    <t>2242</t>
  </si>
  <si>
    <t>El XML no contiene el tag DocumentTypeCode</t>
  </si>
  <si>
    <t>2243</t>
  </si>
  <si>
    <t>El dato ingresado  no cumple con el patron SERIE</t>
  </si>
  <si>
    <t>2244</t>
  </si>
  <si>
    <t>El XML no contiene el tag DocumentSerialID</t>
  </si>
  <si>
    <t>2245</t>
  </si>
  <si>
    <t>El dato ingresado en StartDocumentNumberID debe ser numerico</t>
  </si>
  <si>
    <t>2246</t>
  </si>
  <si>
    <t>El XML no contiene el tag StartDocumentNumberID</t>
  </si>
  <si>
    <t>2247</t>
  </si>
  <si>
    <t>El dato ingresado en sac:EndDocumentNumberID debe ser numerico</t>
  </si>
  <si>
    <t>2248</t>
  </si>
  <si>
    <t>El XML no contiene el tag sac:EndDocumentNumberID</t>
  </si>
  <si>
    <t>2249</t>
  </si>
  <si>
    <t>Los rangos deben ser mayores a cero</t>
  </si>
  <si>
    <t>2250</t>
  </si>
  <si>
    <t>En el rango de comprobantes, el EndDocumentNumberID debe ser mayor o igual al StartInvoiceNumberID</t>
  </si>
  <si>
    <t>2251</t>
  </si>
  <si>
    <t>El dato ingresado en TotalAmount debe ser numerico mayor o igual a cero</t>
  </si>
  <si>
    <t>2252</t>
  </si>
  <si>
    <t>El XML no contiene el tag TotalAmount</t>
  </si>
  <si>
    <t>2253</t>
  </si>
  <si>
    <t>El dato ingresado en TotalAmount debe ser numerico mayor a cero</t>
  </si>
  <si>
    <t>2254</t>
  </si>
  <si>
    <t>PaidAmount - El dato ingresado no cumple con el estandar</t>
  </si>
  <si>
    <t>2255</t>
  </si>
  <si>
    <t>El XML no contiene el tag PaidAmount</t>
  </si>
  <si>
    <t>2256</t>
  </si>
  <si>
    <t>InstructionID - El dato ingresado no cumple con el estandar</t>
  </si>
  <si>
    <t>2257</t>
  </si>
  <si>
    <t>El XML no contiene el tag InstructionID</t>
  </si>
  <si>
    <t>2258</t>
  </si>
  <si>
    <t>Debe indicar Referencia de Importes asociados a las boletas de venta</t>
  </si>
  <si>
    <t>2259</t>
  </si>
  <si>
    <t>Debe indicar 3 Referencias de Importes asociados a las boletas de venta</t>
  </si>
  <si>
    <t>2260</t>
  </si>
  <si>
    <t>PaidAmount - El dato ingresado debe ser mayor o igual a 0.00</t>
  </si>
  <si>
    <t>2261</t>
  </si>
  <si>
    <t>cbc:Amount - El dato ingresado no cumple con el estandar</t>
  </si>
  <si>
    <t>2262</t>
  </si>
  <si>
    <t>El XML no contiene el tag cbc:Amount</t>
  </si>
  <si>
    <t>2263</t>
  </si>
  <si>
    <t>ChargeIndicator - El dato ingresado no cumple con el estandar</t>
  </si>
  <si>
    <t>2264</t>
  </si>
  <si>
    <t>El XML no contiene el tag ChargeIndicator</t>
  </si>
  <si>
    <t>2265</t>
  </si>
  <si>
    <t>Debe indicar Información acerca del Importe Total de Otros Cargos</t>
  </si>
  <si>
    <t>2266</t>
  </si>
  <si>
    <t>Debe indicar cargos mayores o iguales a cero</t>
  </si>
  <si>
    <t>2267</t>
  </si>
  <si>
    <t>2268</t>
  </si>
  <si>
    <t>2269</t>
  </si>
  <si>
    <t>El XML no contiene el tag TaxScheme ID de Información acerca del importe total de un tipo particular de impuesto</t>
  </si>
  <si>
    <t>2270</t>
  </si>
  <si>
    <t>2271</t>
  </si>
  <si>
    <t>El XML no contiene el tag TaxScheme Name de impuesto</t>
  </si>
  <si>
    <t>2272</t>
  </si>
  <si>
    <t>2273</t>
  </si>
  <si>
    <t>TaxAmount - El dato ingresado no cumple con el estandar</t>
  </si>
  <si>
    <t>2274</t>
  </si>
  <si>
    <t>El XML no contiene el tag TaxAmount</t>
  </si>
  <si>
    <t>2275</t>
  </si>
  <si>
    <t>Si el codigo de tributo es 2000, el nombre del tributo debe ser ISC</t>
  </si>
  <si>
    <t>2276</t>
  </si>
  <si>
    <t>Si el codigo de tributo es 1000, el nombre del tributo debe ser IGV</t>
  </si>
  <si>
    <t>2277</t>
  </si>
  <si>
    <t>No se ha consignado ninguna informacion del importe total de tributos</t>
  </si>
  <si>
    <t>2278</t>
  </si>
  <si>
    <t>Debe indicar Información acerca del importe total de IGV/IVAP</t>
  </si>
  <si>
    <t>2279</t>
  </si>
  <si>
    <t>Debe indicar Items de consolidado de documentos</t>
  </si>
  <si>
    <t>2280</t>
  </si>
  <si>
    <t>Existen problemas con la informacion del resumen de comprobantes</t>
  </si>
  <si>
    <t>2281</t>
  </si>
  <si>
    <t>Error en la validacion de los rangos de los comprobantes</t>
  </si>
  <si>
    <t>2282</t>
  </si>
  <si>
    <t>Existe documento ya informado anteriormente</t>
  </si>
  <si>
    <t>2283</t>
  </si>
  <si>
    <t>El dato ingresado no cumple con el formato RA-fecha-correlativo</t>
  </si>
  <si>
    <t>2284</t>
  </si>
  <si>
    <t>El tag ID esta vacío</t>
  </si>
  <si>
    <t>2285</t>
  </si>
  <si>
    <t>El ID debe coincidir  con el nombre del archivo</t>
  </si>
  <si>
    <t>2286</t>
  </si>
  <si>
    <t>2287</t>
  </si>
  <si>
    <t>2288</t>
  </si>
  <si>
    <t>2289</t>
  </si>
  <si>
    <t>2290</t>
  </si>
  <si>
    <t>2291</t>
  </si>
  <si>
    <t>El contribuyente no esta autorizado a emitir comprobantes electronicos</t>
  </si>
  <si>
    <t>2292</t>
  </si>
  <si>
    <t>2293</t>
  </si>
  <si>
    <t>2294</t>
  </si>
  <si>
    <t>2295</t>
  </si>
  <si>
    <t>2296</t>
  </si>
  <si>
    <t>2297</t>
  </si>
  <si>
    <t>2298</t>
  </si>
  <si>
    <t>2299</t>
  </si>
  <si>
    <t>2300</t>
  </si>
  <si>
    <t>IssueDate - El dato ingresado no es valido</t>
  </si>
  <si>
    <t>2301</t>
  </si>
  <si>
    <t>2302</t>
  </si>
  <si>
    <t>2303</t>
  </si>
  <si>
    <t>2304</t>
  </si>
  <si>
    <t>ReferenceDate - El dato ingresado no es valido</t>
  </si>
  <si>
    <t>2305</t>
  </si>
  <si>
    <t>2306</t>
  </si>
  <si>
    <t>2307</t>
  </si>
  <si>
    <t>El tag LineID de VoidedDocumentsLine esta vacío</t>
  </si>
  <si>
    <t>2308</t>
  </si>
  <si>
    <t>2309</t>
  </si>
  <si>
    <t>El tag DocumentTypeCode es vacío</t>
  </si>
  <si>
    <t>2311</t>
  </si>
  <si>
    <t>El tag DocumentSerialID es vacío</t>
  </si>
  <si>
    <t>2312</t>
  </si>
  <si>
    <t>El dato ingresado en DocumentNumberID debe ser numerico y como maximo de 8 digitos</t>
  </si>
  <si>
    <t>2313</t>
  </si>
  <si>
    <t>El tag DocumentNumberID esta vacío</t>
  </si>
  <si>
    <t>2314</t>
  </si>
  <si>
    <t>El dato ingresado en VoidReasonDescription debe contener información válida</t>
  </si>
  <si>
    <t>2315</t>
  </si>
  <si>
    <t>El tag VoidReasonDescription esta vacío</t>
  </si>
  <si>
    <t>2316</t>
  </si>
  <si>
    <t>Debe indicar Items en VoidedDocumentsLine</t>
  </si>
  <si>
    <t>2317</t>
  </si>
  <si>
    <t>Error al procesar el resumen de anulados</t>
  </si>
  <si>
    <t>2318</t>
  </si>
  <si>
    <t>2319</t>
  </si>
  <si>
    <t>2320</t>
  </si>
  <si>
    <t>UBLVersionID - La version del UBL  no es la correcta</t>
  </si>
  <si>
    <t>2321</t>
  </si>
  <si>
    <t>2322</t>
  </si>
  <si>
    <t>Error en la validacion de los rangos</t>
  </si>
  <si>
    <t>2323</t>
  </si>
  <si>
    <t>Existe documento ya informado anteriormente en una comunicacion de baja</t>
  </si>
  <si>
    <t>2324</t>
  </si>
  <si>
    <t>El archivo de comunicacion de baja ya fue presentado anteriormente</t>
  </si>
  <si>
    <t>2325</t>
  </si>
  <si>
    <t>El certificado usado no es el comunicado a SUNAT</t>
  </si>
  <si>
    <t>2326</t>
  </si>
  <si>
    <t>El certificado usado se encuentra de baja</t>
  </si>
  <si>
    <t>2327</t>
  </si>
  <si>
    <t>El certificado usado no se encuentra vigente</t>
  </si>
  <si>
    <t>2328</t>
  </si>
  <si>
    <t>El certificado usado se encuentra revocado</t>
  </si>
  <si>
    <t>2329</t>
  </si>
  <si>
    <t>La fecha de emision se encuentra fuera del limite permitido</t>
  </si>
  <si>
    <t>2330</t>
  </si>
  <si>
    <t>La fecha de generación de la comunicación debe ser igual a la fecha consignada en el nombre del archivo</t>
  </si>
  <si>
    <t>2331</t>
  </si>
  <si>
    <t>2332</t>
  </si>
  <si>
    <t>Número de Serie del nombre del archivo no coincide con el consignado en el contenido del archivo XML</t>
  </si>
  <si>
    <t>2333</t>
  </si>
  <si>
    <t>2334</t>
  </si>
  <si>
    <t>El documento electrónico ingresado ha sido alterado</t>
  </si>
  <si>
    <t>2335</t>
  </si>
  <si>
    <t>2336</t>
  </si>
  <si>
    <t>Ocurrió un error en el proceso de validación de la firma digital</t>
  </si>
  <si>
    <t>2337</t>
  </si>
  <si>
    <t>La moneda debe ser la misma en todo el documento</t>
  </si>
  <si>
    <t>2338</t>
  </si>
  <si>
    <t>2339</t>
  </si>
  <si>
    <t>2340</t>
  </si>
  <si>
    <t>2341</t>
  </si>
  <si>
    <t>2342</t>
  </si>
  <si>
    <t>Fecha de emision de la factura no coincide con la informada en la comunicacion</t>
  </si>
  <si>
    <t>2343</t>
  </si>
  <si>
    <t>cac:TaxTotal/cac:TaxSubtotal/cbc:TaxAmount - El dato ingresado no cumple con el estandar</t>
  </si>
  <si>
    <t>2344</t>
  </si>
  <si>
    <t>El XML no contiene el tag cac:TaxTotal/cac:TaxSubtotal/cbc:TaxAmount</t>
  </si>
  <si>
    <t>2345</t>
  </si>
  <si>
    <t>La serie no corresponde al tipo de comprobante</t>
  </si>
  <si>
    <t>2346</t>
  </si>
  <si>
    <t>La fecha de generación del resumen debe ser igual a la fecha consignada en el nombre del archivo</t>
  </si>
  <si>
    <t>2347</t>
  </si>
  <si>
    <t>Los rangos informados en el archivo XML se encuentran duplicados o superpuestos</t>
  </si>
  <si>
    <t>2348</t>
  </si>
  <si>
    <t>Los documentos informados en el archivo XML se encuentran duplicados</t>
  </si>
  <si>
    <t>2349</t>
  </si>
  <si>
    <t>Debe consignar solo un elemento sac:AdditionalMonetaryTotal con cbc:ID igual a 1001</t>
  </si>
  <si>
    <t>2350</t>
  </si>
  <si>
    <t>Debe consignar solo un elemento sac:AdditionalMonetaryTotal con cbc:ID igual a 1002</t>
  </si>
  <si>
    <t>2351</t>
  </si>
  <si>
    <t>Debe consignar solo un elemento sac:AdditionalMonetaryTotal con cbc:ID igual a 1003</t>
  </si>
  <si>
    <t>2352</t>
  </si>
  <si>
    <t>Debe consignar solo un elemento cac:TaxTotal a nivel global para IGV (cbc:ID igual a 1000)</t>
  </si>
  <si>
    <t>2353</t>
  </si>
  <si>
    <t>Debe consignar solo un elemento cac:TaxTotal a nivel global para ISC (cbc:ID igual a 2000)</t>
  </si>
  <si>
    <t>2354</t>
  </si>
  <si>
    <t>Debe consignar solo un elemento cac:TaxTotal a nivel global para Otros (cbc:ID igual a 9999)</t>
  </si>
  <si>
    <t>2355</t>
  </si>
  <si>
    <t>Debe consignar solo un elemento cac:TaxTotal a nivel de item por codigo de tributo</t>
  </si>
  <si>
    <t>2356</t>
  </si>
  <si>
    <t>Debe consignar solo un elemento cac:TaxTotal a nivel de item para ISC (cbc:ID igual a 2000)</t>
  </si>
  <si>
    <t>2357</t>
  </si>
  <si>
    <t>No debe existir un elemento sac:BillingPayment a nivel de item con el mismo valor de cbc:InstructionID</t>
  </si>
  <si>
    <t>2358</t>
  </si>
  <si>
    <t>Debe consignar solo un elemento sac:BillingPayment a nivel de item con cbc:InstructionID igual a 02</t>
  </si>
  <si>
    <t>2359</t>
  </si>
  <si>
    <t>Debe consignar solo un elemento sac:BillingPayment a nivel de item con cbc:InstructionID igual a 03</t>
  </si>
  <si>
    <t>2360</t>
  </si>
  <si>
    <t>Debe consignar solo un elemento sac:BillingPayment a nivel de item con cbc:InstructionID igual a 04</t>
  </si>
  <si>
    <t>2361</t>
  </si>
  <si>
    <t>Debe consignar solo un elemento cac:TaxTotal a nivel de item para Otros (cbc:ID igual a 9999)</t>
  </si>
  <si>
    <t>2362</t>
  </si>
  <si>
    <t>Debe consignar solo un tag cac:AccountingSupplierParty/cbc:AdditionalAccountID</t>
  </si>
  <si>
    <t>2363</t>
  </si>
  <si>
    <t>Debe consignar solo un tag cac:AccountingCustomerParty/cbc:AdditionalAccountID</t>
  </si>
  <si>
    <t>2364</t>
  </si>
  <si>
    <t>El comprobante contiene un tipo y número de Guía de Remisión repetido</t>
  </si>
  <si>
    <t>2365</t>
  </si>
  <si>
    <t>El comprobante contiene un tipo y número de Documento Relacionado repetido</t>
  </si>
  <si>
    <t>2366</t>
  </si>
  <si>
    <t>El codigo en el tag sac:AdditionalProperty/cbc:ID debe tener 4 posiciones</t>
  </si>
  <si>
    <t>2367</t>
  </si>
  <si>
    <t>El dato ingresado en PriceAmount del Precio de venta unitario por item no cumple con el formato establecido</t>
  </si>
  <si>
    <t>2368</t>
  </si>
  <si>
    <t>El dato ingresado en TaxSubtotal/cbc:TaxAmount del item no cumple con el formato establecido</t>
  </si>
  <si>
    <t>2369</t>
  </si>
  <si>
    <t>El dato ingresado en PriceAmount del Valor de venta unitario por item no cumple con el formato establecido</t>
  </si>
  <si>
    <t>2370</t>
  </si>
  <si>
    <t>El dato ingresado en LineExtensionAmount del item no cumple con el formato establecido</t>
  </si>
  <si>
    <t>2371</t>
  </si>
  <si>
    <t>El XML no contiene el tag cbc:TaxExemptionReasonCode de Afectacion al IGV</t>
  </si>
  <si>
    <t>2372</t>
  </si>
  <si>
    <t>El tag en el item cac:TaxTotal/cbc:TaxAmount debe tener el mismo valor que cac:TaxTotal/cac:TaxSubtotal/cbc:TaxAmount</t>
  </si>
  <si>
    <t>2373</t>
  </si>
  <si>
    <t>Si existe monto de ISC en el ITEM debe especificar el sistema de calculo</t>
  </si>
  <si>
    <t>2374</t>
  </si>
  <si>
    <t>La factura a dar de baja tiene una fecha de recepcion fuera del plazo permitido</t>
  </si>
  <si>
    <t>2375</t>
  </si>
  <si>
    <t>Fecha de emision del comprobante no coincide con la fecha de emision consignada en la comunicación</t>
  </si>
  <si>
    <t>2376</t>
  </si>
  <si>
    <t>La boleta de venta a dar de baja fue informada en un resumen con fecha de recepcion fuera del plazo permitido</t>
  </si>
  <si>
    <t>2377</t>
  </si>
  <si>
    <t>El Name o TaxTypeCode debe corresponder al codigo de tributo del item</t>
  </si>
  <si>
    <t>2378</t>
  </si>
  <si>
    <t>2379</t>
  </si>
  <si>
    <t>La numeracion de boleta de venta a dar de baja fue generada en una fecha fuera del plazo permitido</t>
  </si>
  <si>
    <t>2380</t>
  </si>
  <si>
    <t>El documento tiene observaciones</t>
  </si>
  <si>
    <t>2381</t>
  </si>
  <si>
    <t>Comprobante no cumple con el Grupo 1: No todos los items corresponden a operaciones gravadas a IGV</t>
  </si>
  <si>
    <t>2382</t>
  </si>
  <si>
    <t>Comprobante no cumple con el Grupo 2: No todos los items corresponden a operaciones inafectas o exoneradas al IGV</t>
  </si>
  <si>
    <t>2383</t>
  </si>
  <si>
    <t>Comprobante no cumple con el Grupo 3: Falta leyenda con codigo 1002</t>
  </si>
  <si>
    <t>2384</t>
  </si>
  <si>
    <t>Comprobante no cumple con el Grupo 3: Existe item con operación onerosa</t>
  </si>
  <si>
    <t>2385</t>
  </si>
  <si>
    <t>Comprobante no cumple con el Grupo 4: Debe exitir Total descuentos mayor a cero</t>
  </si>
  <si>
    <t>2386</t>
  </si>
  <si>
    <t>Comprobante no cumple con el Grupo 5: Todos los items deben tener operaciones afectas a ISC</t>
  </si>
  <si>
    <t>2387</t>
  </si>
  <si>
    <t>Comprobante no cumple con el Grupo 6: El monto de percepcion no existe o es cero</t>
  </si>
  <si>
    <t>2388</t>
  </si>
  <si>
    <t>Comprobante no cumple con el Grupo 6: Todos los items deben tener código de Afectación al IGV igual a 10</t>
  </si>
  <si>
    <t>2389</t>
  </si>
  <si>
    <t>Comprobante no cumple con el Grupo 7: El codigo de moneda no es diferente a PEN</t>
  </si>
  <si>
    <t>2390</t>
  </si>
  <si>
    <t>Comprobante no cumple con el Grupo 8: No todos los items corresponden a operaciones gravadas a IGV</t>
  </si>
  <si>
    <t>Comprobante no cumple con el Grupo 9: No todos los items corresponden a operaciones inafectas o exoneradas al IGV</t>
  </si>
  <si>
    <t>Comprobante no cumple con el Grupo 10: Falta leyenda con codigo 1002</t>
  </si>
  <si>
    <t>Comprobante no cumple con el Grupo 10: Existe item con operación onerosa</t>
  </si>
  <si>
    <t>Comprobante no cumple con el Grupo 11: Debe existir Total descuentos mayor a cero</t>
  </si>
  <si>
    <t>Comprobante no cumple con el Grupo 12: El codigo de moneda no es diferente a PEN</t>
  </si>
  <si>
    <t>Si el monto total es mayor a S/. 700.00 debe consignar tipo y numero de documento del adquiriente</t>
  </si>
  <si>
    <t>2397</t>
  </si>
  <si>
    <t>El tipo de documento del adquiriente no puede ser Numero de RUC</t>
  </si>
  <si>
    <t>2398</t>
  </si>
  <si>
    <t>El documento a dar de baja se encuentra rechazado</t>
  </si>
  <si>
    <t>El tipo de documento modificado por la Nota de credito debe ser boleta electronica</t>
  </si>
  <si>
    <t>2400</t>
  </si>
  <si>
    <t>El tipo de documento modificado por la Nota de debito debe ser boleta electronica</t>
  </si>
  <si>
    <t>2401</t>
  </si>
  <si>
    <t>2402</t>
  </si>
  <si>
    <t>2403</t>
  </si>
  <si>
    <t>2404</t>
  </si>
  <si>
    <t>Documento afectado por la nota electronica no se encuentra autorizado</t>
  </si>
  <si>
    <t>2405</t>
  </si>
  <si>
    <t>Contribuyente no se encuentra autorizado como emisor de boletas electronicas</t>
  </si>
  <si>
    <t>2406</t>
  </si>
  <si>
    <t>Existe mas de un tag sac:AdditionalMonetaryTotal con el mismo ID</t>
  </si>
  <si>
    <t>2407</t>
  </si>
  <si>
    <t>Existe mas de un tag sac:AdditionalProperty con el mismo ID</t>
  </si>
  <si>
    <t>2408</t>
  </si>
  <si>
    <t>El dato ingresado en PriceAmount del Valor referencial unitario por item no cumple con el formato establecido</t>
  </si>
  <si>
    <t>2409</t>
  </si>
  <si>
    <t>Existe mas de un tag cac:AlternativeConditionPrice con el mismo cbc:PriceTypeCode</t>
  </si>
  <si>
    <t>Se ha consignado un valor invalido en el campo cbc:PriceTypeCode</t>
  </si>
  <si>
    <t>2411</t>
  </si>
  <si>
    <t>Ha consignado mas de un elemento cac:AllowanceCharge con el mismo campo cbc:ChargeIndicator</t>
  </si>
  <si>
    <t>2412</t>
  </si>
  <si>
    <t>Se ha consignado mas de un documento afectado por la nota (tag cac:BillingReference)</t>
  </si>
  <si>
    <t>2413</t>
  </si>
  <si>
    <t>Se ha consignado mas de un motivo o sustento de la nota (tag cac:DiscrepancyResponse/cbc:Description)</t>
  </si>
  <si>
    <t>2414</t>
  </si>
  <si>
    <t>No se ha consignado en la nota el tag cac:DiscrepancyResponse</t>
  </si>
  <si>
    <t>2415</t>
  </si>
  <si>
    <t>Se ha consignado en la nota mas de un tag cac:DiscrepancyResponse</t>
  </si>
  <si>
    <t>2416</t>
  </si>
  <si>
    <t>Si existe leyenda Transferencia Gratuita debe consignar Total Valor de Venta de Operaciones Gratuitas</t>
  </si>
  <si>
    <t>2417</t>
  </si>
  <si>
    <t>Debe consignar Valor Referencial unitario por item en operaciones no onerosas</t>
  </si>
  <si>
    <t>2418</t>
  </si>
  <si>
    <t>Si consigna Valor Referencial unitario por item en operaciones no onerosas,la operacion debe ser no onerosa.</t>
  </si>
  <si>
    <t>2419</t>
  </si>
  <si>
    <t>El dato ingresado en AllowanceTotalAmount no cumple con el formato establecido</t>
  </si>
  <si>
    <t>Ya transcurrieron mas de 25 dias calendarios para concluir con su proceso de homologacion</t>
  </si>
  <si>
    <t>2421</t>
  </si>
  <si>
    <t>Debe indicar  toda la informacion de  sustento de translado de bienes.</t>
  </si>
  <si>
    <t>2422</t>
  </si>
  <si>
    <t>El valor unitario debe ser menor al precio unitario.</t>
  </si>
  <si>
    <t>2423</t>
  </si>
  <si>
    <t>Si ha consignado monto ISC a nivel de item, debe consignar un monto a nivel de total.</t>
  </si>
  <si>
    <t>2424</t>
  </si>
  <si>
    <t>RC Debe consignar solo un elemento sac:BillingPayment a nivel de item con cbc:InstructionID igual a 05.</t>
  </si>
  <si>
    <t>2425</t>
  </si>
  <si>
    <t>Si la  operacion es gratuita PriceTypeCode =02 y cbc:PriceAmount&gt; 0 el codigo de afectacion de igv debe ser  no onerosa es  decir diferente de 10,20,30.</t>
  </si>
  <si>
    <t>2426</t>
  </si>
  <si>
    <t>Documentos relacionados duplicados en el comprobante.</t>
  </si>
  <si>
    <t>2427</t>
  </si>
  <si>
    <t>Solo debe de existir un tag AdditionalInformation.</t>
  </si>
  <si>
    <t>2428</t>
  </si>
  <si>
    <t>Comprobante no cumple con grupo de facturas con detracciones.</t>
  </si>
  <si>
    <t>2429</t>
  </si>
  <si>
    <t>Comprobante no cumple con grupo de facturas con comercio exterior.</t>
  </si>
  <si>
    <t>2430</t>
  </si>
  <si>
    <t>Comprobante no cumple con grupo de facturas con tag de factura guia.</t>
  </si>
  <si>
    <t>Comprobante no cumple con grupo de facturas con tags no tributarios.</t>
  </si>
  <si>
    <t>Comprobante no cumple con grupo de boletas con tags no tributarios.</t>
  </si>
  <si>
    <t>2433</t>
  </si>
  <si>
    <t>Comprobante no cumple con grupo de facturas con tag venta itinerante.</t>
  </si>
  <si>
    <t>2434</t>
  </si>
  <si>
    <t>Comprobante no cumple con grupo de boletas con tag venta itinerante.</t>
  </si>
  <si>
    <t>2435</t>
  </si>
  <si>
    <t>Comprobante no cumple con grupo de boletas con ISC.</t>
  </si>
  <si>
    <t>2436</t>
  </si>
  <si>
    <t>Comprobante no cumple con el grupo de boletas de venta con percepcion: El monto de percepcion no existe o es cero.</t>
  </si>
  <si>
    <t>2437</t>
  </si>
  <si>
    <t>Comprobante no cumple con el grupo de boletas de venta con percepcion: Todos los items deben tener código de Afectación al IGV igual a 10.</t>
  </si>
  <si>
    <t>2438</t>
  </si>
  <si>
    <t>Comprobante no cumple con grupo de facturas con tag venta anticipada I.</t>
  </si>
  <si>
    <t>2439</t>
  </si>
  <si>
    <t>Comprobante no cumple con grupo de facturas con tag venta anticipada II.</t>
  </si>
  <si>
    <t>2500</t>
  </si>
  <si>
    <t>Ingresar descripción y valor venta por ítem para documento de anticipos.</t>
  </si>
  <si>
    <t>2501</t>
  </si>
  <si>
    <t>Valor venta debe ser mayor a cero.</t>
  </si>
  <si>
    <t>2502</t>
  </si>
  <si>
    <t>El importe total para tipo de operación Venta interna-Anticipos debe ser mayor a cero.</t>
  </si>
  <si>
    <t>2503</t>
  </si>
  <si>
    <t>PaidAmount: monto anticipado por documento debe ser mayor a cero.</t>
  </si>
  <si>
    <t>2504</t>
  </si>
  <si>
    <t>Falta referencia de la factura relacionada con anticipo.</t>
  </si>
  <si>
    <t>2505</t>
  </si>
  <si>
    <t>Código de documento de referencia debe ser 02 o 03.</t>
  </si>
  <si>
    <t>2506</t>
  </si>
  <si>
    <t>cac:PrepaidPayment/cbc:ID: Factura o boleta no existe o comunicada de Baja.</t>
  </si>
  <si>
    <t>2507</t>
  </si>
  <si>
    <t>Factura relacionada con anticipo no corresponde como factura de anticipo.</t>
  </si>
  <si>
    <t>2508</t>
  </si>
  <si>
    <t>Ingresar documentos por anticipos.</t>
  </si>
  <si>
    <t>2509</t>
  </si>
  <si>
    <t>Total de anticipos diferente a los montos anticipados por documento.</t>
  </si>
  <si>
    <t>2510</t>
  </si>
  <si>
    <t>Nro nombre del documento no tiene el formato correcto.</t>
  </si>
  <si>
    <t>El tipo de documento no es aceptado.</t>
  </si>
  <si>
    <t>No existe información de serie o número.</t>
  </si>
  <si>
    <t>Dato no cumple con formato de acuerdo al tipo de documento</t>
  </si>
  <si>
    <t>2514</t>
  </si>
  <si>
    <t>No existe información de receptor de documento.</t>
  </si>
  <si>
    <t>2515</t>
  </si>
  <si>
    <t>Dato ingresado no cumple con catalogo 6.</t>
  </si>
  <si>
    <t>2516</t>
  </si>
  <si>
    <t>Debe indicar tipo de documento.</t>
  </si>
  <si>
    <t>2517</t>
  </si>
  <si>
    <t>Dato no cumple con formato establecido.</t>
  </si>
  <si>
    <t>2518</t>
  </si>
  <si>
    <t>Calculo IGV no es correcto.</t>
  </si>
  <si>
    <t>2519</t>
  </si>
  <si>
    <t>El importe total no coincide con la sumatoria de los valores de venta mas los tributos mas los cargos menos los descuentos que no afectan la base imponible</t>
  </si>
  <si>
    <t>El tipo documento del emisor que realiza el anticipo debe ser 6 del catalogo de tipo de documento.</t>
  </si>
  <si>
    <t>2521</t>
  </si>
  <si>
    <t>El dato ingresado debe indicar SERIE-CORRELATIVO del documento que se realizo el anticipo.</t>
  </si>
  <si>
    <t>2522</t>
  </si>
  <si>
    <t>No existe información del documento del anticipo.</t>
  </si>
  <si>
    <t>2523</t>
  </si>
  <si>
    <t>GrossWeightMeasure – El dato ingresado no cumple con el formato establecido.</t>
  </si>
  <si>
    <t>2524</t>
  </si>
  <si>
    <t>Debe indicar el documento afectado por la nota</t>
  </si>
  <si>
    <t>2525</t>
  </si>
  <si>
    <t>El dato ingresado en Quantity no cumple con el formato establecido.</t>
  </si>
  <si>
    <t>2526</t>
  </si>
  <si>
    <t>El dato ingresado en Percent no cumple con el formato establecido.</t>
  </si>
  <si>
    <t>2527</t>
  </si>
  <si>
    <t>PrepaidAmount: Monto total anticipado debe ser mayor a cero.</t>
  </si>
  <si>
    <t>2528</t>
  </si>
  <si>
    <t>cac:OriginatorDocumentReference/cbc:ID/@SchemaID – El tipo documento debe ser 6 del catalogo de tipo de documento.</t>
  </si>
  <si>
    <t>2529</t>
  </si>
  <si>
    <t>RUC que emitio documento de anticipo, no existe.</t>
  </si>
  <si>
    <t>2530</t>
  </si>
  <si>
    <t>RUC que solicita la emision de la factura, no existe.</t>
  </si>
  <si>
    <t>2531</t>
  </si>
  <si>
    <t>Codigo del Local Anexo del emisor no existe.</t>
  </si>
  <si>
    <t>2532</t>
  </si>
  <si>
    <t>No existe información de modalidad de transporte.</t>
  </si>
  <si>
    <t>2533</t>
  </si>
  <si>
    <t>Si ha consignado Transporte Privado, debe consignar Licencia de conducir, Placa, N constancia de inscripcion y marca del vehiculo.</t>
  </si>
  <si>
    <t>2534</t>
  </si>
  <si>
    <t>Si ha consignado Transporte Público, debe consignar Datos del transportista.</t>
  </si>
  <si>
    <t>2535</t>
  </si>
  <si>
    <t>La nota de crédito por otros conceptos tributarios debe tener Otros Documentos Relacionados.</t>
  </si>
  <si>
    <t>2536</t>
  </si>
  <si>
    <t>Serie y numero no se encuentra registrado como baja por cambio de destinatario.</t>
  </si>
  <si>
    <t>2537</t>
  </si>
  <si>
    <t>cac:OrderReference/cac:DocumentReference/cbc:DocumentTypeCode - El tipo de documento de serie y número dado de baja es incorrecta.</t>
  </si>
  <si>
    <t>2538</t>
  </si>
  <si>
    <t>El contribuyente no se encuentra autorizado como emisor electronico de Guía o de factura o de boletaFactura GEM.</t>
  </si>
  <si>
    <t>2539</t>
  </si>
  <si>
    <t>El contribuyente no esta activo.</t>
  </si>
  <si>
    <t>2540</t>
  </si>
  <si>
    <t>El contribuyente no esta habido.</t>
  </si>
  <si>
    <t>2541</t>
  </si>
  <si>
    <t>El XML no contiene el tag o no existe informacion del tipo de documento identidad del remitente.</t>
  </si>
  <si>
    <t>2542</t>
  </si>
  <si>
    <t>cac:DespatchSupplierParty/cbc:CustomerAssignedAccountID@schemeID - El valor ingresado como tipo de documento identidad del remitente es incorrecta.</t>
  </si>
  <si>
    <t>2543</t>
  </si>
  <si>
    <t>El XML no contiene el tag o no existe informacion de la dirección completa y detallada en domicilio fiscal.</t>
  </si>
  <si>
    <t>2544</t>
  </si>
  <si>
    <t>El XML no contiene el tag o no existe información de la provincia en domicilio fiscal.</t>
  </si>
  <si>
    <t>2545</t>
  </si>
  <si>
    <t>El XML no contiene el tag o no existe información del departamento en domicilio fiscal.</t>
  </si>
  <si>
    <t>2546</t>
  </si>
  <si>
    <t>El XML no contiene el tag o no existe información del distrito en domicilio fiscal.</t>
  </si>
  <si>
    <t>2547</t>
  </si>
  <si>
    <t>El XML no contiene el tag o no existe información del país en domicilio fiscal.</t>
  </si>
  <si>
    <t>2548</t>
  </si>
  <si>
    <t>El valor del país inválido.</t>
  </si>
  <si>
    <t>2549</t>
  </si>
  <si>
    <t>El XML no contiene el tag o no existe informacion del tipo de documento identidad del destinatario.</t>
  </si>
  <si>
    <t>2550</t>
  </si>
  <si>
    <t>cac:DeliveryCustomerParty/cbc:CustomerAssignedAccountID@schemeID - El dato ingresado de tipo de documento identidad del destinatario no cumple con el estandar.</t>
  </si>
  <si>
    <t>2551</t>
  </si>
  <si>
    <t>El XML no contiene el tag o no existe informacion de CustomerAssignedAccountID del proveedor de servicios.</t>
  </si>
  <si>
    <t>2552</t>
  </si>
  <si>
    <t>El XML no contiene el tag o no existe informacion del tipo de documento identidad del proveedor.</t>
  </si>
  <si>
    <t>2553</t>
  </si>
  <si>
    <t>cac:SellerSupplierParty/cbc:CustomerAssignedAccountID@schemeID - El dato ingresado no es valido.</t>
  </si>
  <si>
    <t>2554</t>
  </si>
  <si>
    <t>Para el motivo de traslado ingresado el Destinatario debe ser igual al remitente.</t>
  </si>
  <si>
    <t>2555</t>
  </si>
  <si>
    <t>Destinatario no debe ser igual al remitente.</t>
  </si>
  <si>
    <t>2556</t>
  </si>
  <si>
    <t>cbc:TransportModeCode -  dato ingresado no es valido.</t>
  </si>
  <si>
    <t>2557</t>
  </si>
  <si>
    <t>La fecha del StartDate no debe ser menor al Today.</t>
  </si>
  <si>
    <t>2558</t>
  </si>
  <si>
    <t>El XML no contiene el tag o no existe informacion en Numero de Ruc del transportista.</t>
  </si>
  <si>
    <t>2559</t>
  </si>
  <si>
    <t>/DespatchAdvice/cac:Shipment/cac:ShipmentStage/cac:CarrierParty/cac:PartyIdentification/cbc:ID  - El dato ingresado no cumple con el formato establecido.</t>
  </si>
  <si>
    <t>2560</t>
  </si>
  <si>
    <t>Transportista  no debe ser igual al remitente o destinatario.</t>
  </si>
  <si>
    <t>2561</t>
  </si>
  <si>
    <t>El XML no contiene el tag o no existe informacion del tipo de documento identidad del transportista.</t>
  </si>
  <si>
    <t>2562</t>
  </si>
  <si>
    <t>/DespatchAdvice/cac:Shipment/cac:ShipmentStage/cac:CarrierParty/cac:PartyIdentification/cbc:ID@schemeID  - El dato ingresado no es valido.</t>
  </si>
  <si>
    <t>2563</t>
  </si>
  <si>
    <t>El XML no contiene el tag o no existe informacion de Apellido, Nombre o razon social del transportista.</t>
  </si>
  <si>
    <t>2564</t>
  </si>
  <si>
    <t>Razon social transportista - El dato ingresado no cumple con el formato establecido.</t>
  </si>
  <si>
    <t>2565</t>
  </si>
  <si>
    <t>El XML no contiene el tag o no existe informacion del tipo de unidad de transporte.</t>
  </si>
  <si>
    <t>2566</t>
  </si>
  <si>
    <t>El XML no contiene el tag o no existe informacion del Numero de placa del vehículo.</t>
  </si>
  <si>
    <t>2567</t>
  </si>
  <si>
    <t>Numero de placa del vehículo - El dato ingresado no cumple con el formato establecido.</t>
  </si>
  <si>
    <t>2568</t>
  </si>
  <si>
    <t>El XML no contiene el tag o no existe informacion en el Numero de documento de identidad del conductor.</t>
  </si>
  <si>
    <t>2569</t>
  </si>
  <si>
    <t>Documento identidad del conductor - El dato ingresado no cumple con el formato establecido.</t>
  </si>
  <si>
    <t>2570</t>
  </si>
  <si>
    <t>El XML no contiene el tag o no existe informacion del tipo de documento identidad del conductor.</t>
  </si>
  <si>
    <t>2571</t>
  </si>
  <si>
    <t>cac:DriverPerson/ID@schemeID - El valor ingresado de tipo de documento identidad de conductor es incorrecto.</t>
  </si>
  <si>
    <t>2572</t>
  </si>
  <si>
    <t>El XML no contiene el tag o no existe informacion del Numero de licencia del conductor.</t>
  </si>
  <si>
    <t>2573</t>
  </si>
  <si>
    <t>Numero de licencia del conductor - El dato ingresado no cumple con el formato establecido.</t>
  </si>
  <si>
    <t>2574</t>
  </si>
  <si>
    <t>El XML no contiene el tag o no existe informacion de direccion detallada de punto de llegada.</t>
  </si>
  <si>
    <t>2575</t>
  </si>
  <si>
    <t>El XML no contiene el tag o no existe informacion de CityName.</t>
  </si>
  <si>
    <t>2576</t>
  </si>
  <si>
    <t>El XML no contiene el tag o no existe informacion de District.</t>
  </si>
  <si>
    <t>2577</t>
  </si>
  <si>
    <t>El XML no contiene el tag o no existe informacion de direccion detallada de punto de partida.</t>
  </si>
  <si>
    <t>2578</t>
  </si>
  <si>
    <t>2579</t>
  </si>
  <si>
    <t>2580</t>
  </si>
  <si>
    <t>El XML No contiene el tag o no existe información de la cantidad del item.</t>
  </si>
  <si>
    <t>2581</t>
  </si>
  <si>
    <t>No puede dar de baja 'Recibos de servicios publicos' por SEE-Desde los sistemas del contribuyente</t>
  </si>
  <si>
    <t>2582</t>
  </si>
  <si>
    <t>Solo se debe incluir el tag de Comprobante de referencia cuando se trata de una nota de credito o debito</t>
  </si>
  <si>
    <t>2583</t>
  </si>
  <si>
    <t>Debe consignar tipo de documento que modifica</t>
  </si>
  <si>
    <t>2600</t>
  </si>
  <si>
    <t>El comprobante fue enviado fuera del plazo permitido.</t>
  </si>
  <si>
    <t>2601</t>
  </si>
  <si>
    <t>Señor contribuyente a la fecha no se encuentra registrado ó habilitado con la condición de Agente de percepción.</t>
  </si>
  <si>
    <t>2602</t>
  </si>
  <si>
    <t>El régimen percepción enviado no corresponde con su condición de Agente de percepción.</t>
  </si>
  <si>
    <t>2603</t>
  </si>
  <si>
    <t>La tasa de percepción enviada no corresponde con el régimen de percepción.</t>
  </si>
  <si>
    <t>2604</t>
  </si>
  <si>
    <t>El Cliente no puede ser el mismo que el Emisor del comprobante de percepción.</t>
  </si>
  <si>
    <t>2605</t>
  </si>
  <si>
    <t>Número de RUC no existe.</t>
  </si>
  <si>
    <t>2606</t>
  </si>
  <si>
    <t>Documento de identidad del Cliente no existe.</t>
  </si>
  <si>
    <t>2607</t>
  </si>
  <si>
    <t>La moneda del importe de cobro debe ser la misma que la del documento relacionado.</t>
  </si>
  <si>
    <t>2608</t>
  </si>
  <si>
    <t>Los montos de pago, percibidos y montos cobrados consignados para el documento relacionado no son correctos.</t>
  </si>
  <si>
    <t>2609</t>
  </si>
  <si>
    <t>El comprobante electrónico enviado no se encuentra registrado en la SUNAT.</t>
  </si>
  <si>
    <t>La fecha de emisión, Importe total del comprobante y la moneda del comprobante electrónico enviado no son los registrados en los Sistemas de SUNAT.</t>
  </si>
  <si>
    <t>2611</t>
  </si>
  <si>
    <t>El comprobante electrónico no ha sido emitido al cliente.</t>
  </si>
  <si>
    <t>2612</t>
  </si>
  <si>
    <t>La fecha de cobro debe estar entre el primer día calendario del mes al cual corresponde la fecha de emisión del comprobante de percepción o desde la fecha de emisión del comprobante relacionado.</t>
  </si>
  <si>
    <t>2613</t>
  </si>
  <si>
    <t>El Nro. de documento con número de cobro ya se encuentra en la Relación de Documentos Relacionados agregados.</t>
  </si>
  <si>
    <t>2614</t>
  </si>
  <si>
    <t>El Nro. de documento con el número de cobro ya se encuentra registrado como pago realizado.</t>
  </si>
  <si>
    <t>2615</t>
  </si>
  <si>
    <t>Importe total percibido debe ser igual a la suma de los importes percibidos por cada documento relacionado.</t>
  </si>
  <si>
    <t>2616</t>
  </si>
  <si>
    <t>Importe total cobrado debe ser igual a la suma de los importe totales cobrados por cada documento relacionado.</t>
  </si>
  <si>
    <t>2617</t>
  </si>
  <si>
    <t>Señor contribuyente a la fecha no se encuentra registrado ó habilitado con la condición de Agente de retención.</t>
  </si>
  <si>
    <t>2618</t>
  </si>
  <si>
    <t>El régimen retención enviado no corresponde con su condición de Agente de retención.</t>
  </si>
  <si>
    <t>2619</t>
  </si>
  <si>
    <t>La tasa de retención enviada no corresponde con el régimen de retención.</t>
  </si>
  <si>
    <t>El Proveedor no puede ser el mismo que el Emisor del comprobante de retención.</t>
  </si>
  <si>
    <t>2621</t>
  </si>
  <si>
    <t>Número de RUC del Proveedor no existe.</t>
  </si>
  <si>
    <t>2622</t>
  </si>
  <si>
    <t>La moneda del importe de pago debe ser la misma que la del documento relacionado.</t>
  </si>
  <si>
    <t>2623</t>
  </si>
  <si>
    <t>Los montos de pago, retenidos y montos pagados consignados para el documento relacionado no son correctos.</t>
  </si>
  <si>
    <t>2624</t>
  </si>
  <si>
    <t>El comprobante electrónico no ha sido emitido por el proveedor.</t>
  </si>
  <si>
    <t>2625</t>
  </si>
  <si>
    <t>La fecha de pago debe estar entre el primer día calendario del mes al cual corresponde la fecha de emisión del comprobante de retención o desde la fecha de emisión del comprobante relacionado.</t>
  </si>
  <si>
    <t>2626</t>
  </si>
  <si>
    <t>El Nro. de documento con el número de pago ya se encuentra en la Relación de Documentos Relacionados agregados.</t>
  </si>
  <si>
    <t>2627</t>
  </si>
  <si>
    <t>El Nro. de documento con el número de pago ya se encuentra registrado como pago realizado.</t>
  </si>
  <si>
    <t>2628</t>
  </si>
  <si>
    <t>Importe total retenido debe ser igual a la suma de los importes retenidos por cada documento relacionado.</t>
  </si>
  <si>
    <t>2629</t>
  </si>
  <si>
    <t>Importe total pagado debe ser igual a la suma de los importes pagados por cada documento relacionado.</t>
  </si>
  <si>
    <t>La serie o numero del documento(01) modificado por la Nota de Credito no cumple con el formato establecido para tipo codigo Nota Credito 10.</t>
  </si>
  <si>
    <t>2631</t>
  </si>
  <si>
    <t>La serie o numero del documento(12) modificado por la Nota de Credito no cumple con el formato establecido para tipo codigo Nota Credito 10.</t>
  </si>
  <si>
    <t>2632</t>
  </si>
  <si>
    <t>La serie o numero del documento(56) modificado por la Nota de Credito no cumple con el formato establecido para tipo codigo Nota Credito 10.</t>
  </si>
  <si>
    <t>2633</t>
  </si>
  <si>
    <t>La serie o numero del documento(03) modificado por la Nota de Credito no cumple con el formato establecido para tipo codigo Nota Credito 10.</t>
  </si>
  <si>
    <t>2634</t>
  </si>
  <si>
    <t>ReferenceID - El dato ingresado debe indicar serie correcta del documento al que se relaciona la Nota tipo 10.</t>
  </si>
  <si>
    <t>2635</t>
  </si>
  <si>
    <t>Debe existir DocumentTypeCode de Otros documentos relacionados con valor 99 para un tipo codigo Nota Credito 10.</t>
  </si>
  <si>
    <t>2636</t>
  </si>
  <si>
    <t>No existe datos del ID de los documentos relacionados con valor 99 para un tipo codigo Nota Credito 10.</t>
  </si>
  <si>
    <t>2637</t>
  </si>
  <si>
    <t>No existe datos del DocumentType de los documentos relacionados con valor 99 para un tipo codigo Nota Credito 10.</t>
  </si>
  <si>
    <t>Operacion gratuita, solo debe consignar un monto referencial</t>
  </si>
  <si>
    <t>2641</t>
  </si>
  <si>
    <t>Operacion gratuita,  debe consignar Total valor venta - operaciones gratuitas  mayor a cero</t>
  </si>
  <si>
    <t>2642</t>
  </si>
  <si>
    <t>Operaciones de exportacion, deben consignar Tipo Afectacion igual a 40</t>
  </si>
  <si>
    <t>2643</t>
  </si>
  <si>
    <t>Factura de operacion sujeta IVAP debe consignar Monto de impuestos por item</t>
  </si>
  <si>
    <t>2644</t>
  </si>
  <si>
    <t>Comprobante operacion sujeta IVAP solo debe tener ítems con código de afectación del IGV igual a 17</t>
  </si>
  <si>
    <t>2645</t>
  </si>
  <si>
    <t>Factura de operacion sujeta a IVAP debe consignar items con codigo de tributo 1000</t>
  </si>
  <si>
    <t>2646</t>
  </si>
  <si>
    <t>Factura de operacion sujeta a IVAP debe consignar  items con nombre  de tributo IVAP</t>
  </si>
  <si>
    <t>2647</t>
  </si>
  <si>
    <t>Código tributo  UN/ECE debe ser VAT</t>
  </si>
  <si>
    <t>2648</t>
  </si>
  <si>
    <t>Factura de operacion sujeta al IVAP, solo puede consignar informacion para operacion gravadas</t>
  </si>
  <si>
    <t>2649</t>
  </si>
  <si>
    <t>Operación sujeta al IVAP, debe consignar monto en total operaciones gravadas</t>
  </si>
  <si>
    <t>2650</t>
  </si>
  <si>
    <t>Factura de operacion sujeta al IVAP , no debe consignar valor para ISC o debe ser 0</t>
  </si>
  <si>
    <t>Factura de operacion sujeta al IVAP , no debe consignar valor para IGV o debe ser 0</t>
  </si>
  <si>
    <t>Factura de operacion sujeta al IVAP , debe registrar mensaje 2007</t>
  </si>
  <si>
    <t>2653</t>
  </si>
  <si>
    <t>Servicios prestados No domiciliados. Total IGV debe se mayor a cero</t>
  </si>
  <si>
    <t>2654</t>
  </si>
  <si>
    <t>Servicios prestados No domiciliados. Código tributo a consignar debe ser 1000</t>
  </si>
  <si>
    <t>2655</t>
  </si>
  <si>
    <t>Servicios prestados No domiciliados. El código de afectación debe ser 40</t>
  </si>
  <si>
    <t>2656</t>
  </si>
  <si>
    <t>Servicios prestados No domiciliados. Código tributo  UN/ECE debe ser VAT</t>
  </si>
  <si>
    <t>2657</t>
  </si>
  <si>
    <t>El Nro. de documento ya fué utilizado en la emision de CPE.</t>
  </si>
  <si>
    <t>2658</t>
  </si>
  <si>
    <t>El Nro. de documento no se ha informado o no se encuentra en estado Revertido</t>
  </si>
  <si>
    <t>2659</t>
  </si>
  <si>
    <t>La fecha de cobro de cada documento relacionado deben ser del mismo Periodo (mm/aaaa), asimismo estas fechas podrán ser menores o iguales a la fecha de emisión del comprobante de percepción</t>
  </si>
  <si>
    <t>Los datos del CPE revertido no corresponden a los registrados en la SUNAT</t>
  </si>
  <si>
    <t>2661</t>
  </si>
  <si>
    <t>La fecha de cobro de cada documento relacionado deben ser del mismo Periodo (mm/aaaa), asimismo estas fechas podrán ser menores o iguales a la fecha de emisión del comprobante de retencion</t>
  </si>
  <si>
    <t>2662</t>
  </si>
  <si>
    <t>El Nro. de documento ya fué utilizado en la emision de CRE.</t>
  </si>
  <si>
    <t>2663</t>
  </si>
  <si>
    <t>El documento indicado no existe no puede ser modificado</t>
  </si>
  <si>
    <t>2664</t>
  </si>
  <si>
    <t>El calculo de la base imponible de percepción y el monto de la percepción no coincide con el monto total informado.</t>
  </si>
  <si>
    <t>2665</t>
  </si>
  <si>
    <t>El contribuyente no se encuentra autorizado a emitir Tickets</t>
  </si>
  <si>
    <t>2666</t>
  </si>
  <si>
    <t>Las percepciones son solo válidas para boletas de venta al contado.</t>
  </si>
  <si>
    <t>2667</t>
  </si>
  <si>
    <t>2668</t>
  </si>
  <si>
    <t>Importe total cobrado debe ser igual a la suma de los importes cobrados por cada documento relacionado.</t>
  </si>
  <si>
    <t>2669</t>
  </si>
  <si>
    <t>El dato ingresado en TotalInvoiceAmount debe ser numérico mayor a cero</t>
  </si>
  <si>
    <t>La razón social no corresponde al ruc informado.</t>
  </si>
  <si>
    <t>2671</t>
  </si>
  <si>
    <t>La fecha de generación de la comunicación/resumen debe ser mayor o igual a la fecha de generación/emisión de los documentos</t>
  </si>
  <si>
    <t>2672</t>
  </si>
  <si>
    <t>La fecha de generación del documento revertido debe ser menor o igual a la fecha actual.</t>
  </si>
  <si>
    <t>2673</t>
  </si>
  <si>
    <t>El dato ingresado no cumple con el formato RR-fecha-correlativo.</t>
  </si>
  <si>
    <t>2674</t>
  </si>
  <si>
    <t>El dato ingresado  no cumple con el formato de DocumentSerialID, para DocumentTypeCode con valor 20.</t>
  </si>
  <si>
    <t>2675</t>
  </si>
  <si>
    <t>El dato ingresado  no cumple con el formato de DocumentSerialID, para DocumentTypeCode con valor 40.</t>
  </si>
  <si>
    <t>2676</t>
  </si>
  <si>
    <t>El XML no contiene el tag o no existe información del número de RUC del emisor</t>
  </si>
  <si>
    <t>2677</t>
  </si>
  <si>
    <t>El valor ingresado como número de RUC del emisor es incorrecto</t>
  </si>
  <si>
    <t>2678</t>
  </si>
  <si>
    <t>El XML no contiene el atributo o no existe información del tipo de documento del emisor</t>
  </si>
  <si>
    <t>2679</t>
  </si>
  <si>
    <t>El XML no contiene el tag o no existe información del número de documento de identidad del cliente</t>
  </si>
  <si>
    <t>El valor ingresado como documento de identidad del cliente es incorrecto</t>
  </si>
  <si>
    <t>2681</t>
  </si>
  <si>
    <t>El XML no contiene el atributo o no existe información del tipo de documento del cliente</t>
  </si>
  <si>
    <t>2682</t>
  </si>
  <si>
    <t>El valor ingresado como tipo de documento del cliente es incorrecto</t>
  </si>
  <si>
    <t>2683</t>
  </si>
  <si>
    <t>El XML no contiene el tag o no existe información del Importe total Percibido</t>
  </si>
  <si>
    <t>2684</t>
  </si>
  <si>
    <t>El XML no contiene el tag o no existe información de la moneda del Importe total Percibido</t>
  </si>
  <si>
    <t>2685</t>
  </si>
  <si>
    <t>El valor de la moneda del Importe total Percibido debe ser PEN</t>
  </si>
  <si>
    <t>2686</t>
  </si>
  <si>
    <t>El XML no contiene el tag o no existe información del Importe total Cobrado</t>
  </si>
  <si>
    <t>2687</t>
  </si>
  <si>
    <t>El dato ingresado en SUNATTotalCashed debe ser numérico mayor a cero</t>
  </si>
  <si>
    <t>2689</t>
  </si>
  <si>
    <t>El XML no contiene el tag o no existe información de la moneda del Importe total Cobrado</t>
  </si>
  <si>
    <t>2690</t>
  </si>
  <si>
    <t>El valor de la moneda del Importe total Cobrado debe ser PEN</t>
  </si>
  <si>
    <t>2691</t>
  </si>
  <si>
    <t>El XML no contiene el tag o no existe información del tipo de documento relacionado</t>
  </si>
  <si>
    <t>2692</t>
  </si>
  <si>
    <t>El tipo de documento relacionado no es válido</t>
  </si>
  <si>
    <t>2693</t>
  </si>
  <si>
    <t>El XML no contiene el tag o no existe información del número de documento relacionado</t>
  </si>
  <si>
    <t>2694</t>
  </si>
  <si>
    <t>El número de documento relacionado no está permitido o no es valido</t>
  </si>
  <si>
    <t>2695</t>
  </si>
  <si>
    <t>El XML no contiene el tag o no existe información del Importe total documento Relacionado</t>
  </si>
  <si>
    <t>2696</t>
  </si>
  <si>
    <t>El dato ingresado en el importe total documento relacionado debe ser numérico mayor a cero</t>
  </si>
  <si>
    <t>2697</t>
  </si>
  <si>
    <t>El XML no contiene el tag o no existe información del número de cobro</t>
  </si>
  <si>
    <t>2698</t>
  </si>
  <si>
    <t>El dato ingresado en el número de cobro no es válido</t>
  </si>
  <si>
    <t>2699</t>
  </si>
  <si>
    <t>El XML no contiene el tag o no existe información del Importe del cobro</t>
  </si>
  <si>
    <t>2700</t>
  </si>
  <si>
    <t>El dato ingresado en el Importe del cobro debe ser numérico mayor a cero</t>
  </si>
  <si>
    <t>2701</t>
  </si>
  <si>
    <t>El XML no contiene el tag o no existe información de la moneda del documento Relacionado</t>
  </si>
  <si>
    <t>2702</t>
  </si>
  <si>
    <t>El XML no contiene el tag o no existe información de la fecha de cobro del documento Relacionado</t>
  </si>
  <si>
    <t>2703</t>
  </si>
  <si>
    <t>La fecha de cobro del documento relacionado no es válido</t>
  </si>
  <si>
    <t>2704</t>
  </si>
  <si>
    <t>El XML no contiene el tag o no existe información del Importe percibido</t>
  </si>
  <si>
    <t>2705</t>
  </si>
  <si>
    <t>El dato ingresado en el Importe percibido debe ser numérico mayor a cero</t>
  </si>
  <si>
    <t>2706</t>
  </si>
  <si>
    <t>El XML no contiene el tag o no existe información de la moneda de importe percibido</t>
  </si>
  <si>
    <t>2707</t>
  </si>
  <si>
    <t>El valor de la moneda de importe percibido debe ser PEN</t>
  </si>
  <si>
    <t>2708</t>
  </si>
  <si>
    <t>El XML no contiene el tag o no existe información de la Fecha de Percepción</t>
  </si>
  <si>
    <t>2709</t>
  </si>
  <si>
    <t>La fecha de percepción no es válido</t>
  </si>
  <si>
    <t>El XML no contiene el tag o no existe información del Monto total a cobrar</t>
  </si>
  <si>
    <t>2711</t>
  </si>
  <si>
    <t>El dato ingresado en el Monto total a cobrar debe ser numérico mayor a cero</t>
  </si>
  <si>
    <t>2712</t>
  </si>
  <si>
    <t>El XML no contiene el tag o no existe información de la moneda del Monto total a cobrar</t>
  </si>
  <si>
    <t>2713</t>
  </si>
  <si>
    <t>El valor de la moneda del Monto total a cobrar debe ser PEN</t>
  </si>
  <si>
    <t>2714</t>
  </si>
  <si>
    <t>El valor de la moneda de referencia para el tipo de cambio no es válido</t>
  </si>
  <si>
    <t>2715</t>
  </si>
  <si>
    <t>El valor de la moneda objetivo para la Tasa de Cambio debe ser PEN</t>
  </si>
  <si>
    <t>2716</t>
  </si>
  <si>
    <t>El dato ingresado en el tipo de cambio debe ser numérico mayor a cero</t>
  </si>
  <si>
    <t>2717</t>
  </si>
  <si>
    <t>La fecha de cambio no es válido</t>
  </si>
  <si>
    <t>2718</t>
  </si>
  <si>
    <t>El valor de la moneda del documento Relacionado no es válido</t>
  </si>
  <si>
    <t>2719</t>
  </si>
  <si>
    <t>El XML no contiene el tag o no existe información de la moneda de referencia para el tipo de cambio</t>
  </si>
  <si>
    <t>El XML no contiene el tag o no existe información de la moneda objetivo para la Tasa de Cambio</t>
  </si>
  <si>
    <t>2721</t>
  </si>
  <si>
    <t>El XML no contiene el tag o no existe información del tipo de cambio</t>
  </si>
  <si>
    <t>2722</t>
  </si>
  <si>
    <t>El XML no contiene el tag o no existe información de la fecha de cambio</t>
  </si>
  <si>
    <t>2723</t>
  </si>
  <si>
    <t>El XML no contiene el tag o no existe información del número de documento de identidad del proveedor</t>
  </si>
  <si>
    <t>2724</t>
  </si>
  <si>
    <t>El valor ingresado como documento de identidad del proveedor es incorrecto</t>
  </si>
  <si>
    <t>2725</t>
  </si>
  <si>
    <t>El XML no contiene el tag o no existe información del Importe total Retenido</t>
  </si>
  <si>
    <t>2726</t>
  </si>
  <si>
    <t>El XML no contiene el tag o no existe información de la moneda del Importe total Retenido</t>
  </si>
  <si>
    <t>2727</t>
  </si>
  <si>
    <t>2728</t>
  </si>
  <si>
    <t>El valor de la moneda del Importe total Retenido debe ser PEN</t>
  </si>
  <si>
    <t>2729</t>
  </si>
  <si>
    <t>El XML no contiene el tag o no existe información del Importe total Pagado</t>
  </si>
  <si>
    <t>2730</t>
  </si>
  <si>
    <t>El dato ingresado en SUNATTotalPaid debe ser numérico mayor a cero</t>
  </si>
  <si>
    <t>El XML no contiene el tag o no existe información de la moneda del Importe total Pagado</t>
  </si>
  <si>
    <t>El valor de la moneda del Importe total Pagado debe ser PEN</t>
  </si>
  <si>
    <t>El XML no contiene el tag o no existe información del número de pago</t>
  </si>
  <si>
    <t>2734</t>
  </si>
  <si>
    <t>El dato ingresado en el número de pago no es válido</t>
  </si>
  <si>
    <t>2735</t>
  </si>
  <si>
    <t>El XML no contiene el tag o no existe información del Importe del pago</t>
  </si>
  <si>
    <t>2736</t>
  </si>
  <si>
    <t>El dato ingresado en el Importe del pago debe ser numérico mayor a cero</t>
  </si>
  <si>
    <t>2737</t>
  </si>
  <si>
    <t>El XML no contiene el tag o no existe información de la fecha de pago del documento Relacionado</t>
  </si>
  <si>
    <t>2738</t>
  </si>
  <si>
    <t>La fecha de pago del documento relacionado no es válido</t>
  </si>
  <si>
    <t>2739</t>
  </si>
  <si>
    <t>El XML no contiene el tag o no existe información del Importe retenido</t>
  </si>
  <si>
    <t>El dato ingresado en el Importe retenido debe ser numérico mayor a cero</t>
  </si>
  <si>
    <t>2741</t>
  </si>
  <si>
    <t>El XML no contiene el tag o no existe información de la moneda de importe retenido</t>
  </si>
  <si>
    <t>2742</t>
  </si>
  <si>
    <t>El valor de la moneda de importe retenido debe ser PEN</t>
  </si>
  <si>
    <t>2743</t>
  </si>
  <si>
    <t>El XML no contiene el tag o no existe información de la Fecha de Retención</t>
  </si>
  <si>
    <t>2744</t>
  </si>
  <si>
    <t>La fecha de retención no es válido</t>
  </si>
  <si>
    <t>2745</t>
  </si>
  <si>
    <t>El XML no contiene el tag o no existe información del Importe total a pagar (neto)</t>
  </si>
  <si>
    <t>2746</t>
  </si>
  <si>
    <t>El dato ingresado en el Importe total a pagar (neto) debe ser numérico mayor a cero</t>
  </si>
  <si>
    <t>2747</t>
  </si>
  <si>
    <t>El XML no contiene el tag o no existe información de la Moneda del monto neto pagado</t>
  </si>
  <si>
    <t>2748</t>
  </si>
  <si>
    <t>El valor de la Moneda del monto neto pagado debe ser PEN</t>
  </si>
  <si>
    <t>2749</t>
  </si>
  <si>
    <t>La moneda de referencia para el tipo de cambio debe ser la misma que la del documento relacionado</t>
  </si>
  <si>
    <t>El comprobante que desea revertir no existe.</t>
  </si>
  <si>
    <t>2751</t>
  </si>
  <si>
    <t>El comprobante fue informado previamente en una reversión.</t>
  </si>
  <si>
    <t>2752</t>
  </si>
  <si>
    <t>El número de ítem no puede estar duplicado.</t>
  </si>
  <si>
    <t>2753</t>
  </si>
  <si>
    <t>No debe existir mas de una referencia en guía dada de baja.</t>
  </si>
  <si>
    <t>2754</t>
  </si>
  <si>
    <t>El tipo de documento de la guia dada de baja es incorrecto (tipo documento = 09).</t>
  </si>
  <si>
    <t>2755</t>
  </si>
  <si>
    <t>El tipo de documento relacionado es incorrecto (ver catalogo nro 21).</t>
  </si>
  <si>
    <t>2756</t>
  </si>
  <si>
    <t>El numero de documento relacionado no cumple con el estandar.</t>
  </si>
  <si>
    <t>2757</t>
  </si>
  <si>
    <t>El XML no contiene el tag o no existe información del número de documento de identidad del destinatario.</t>
  </si>
  <si>
    <t>2758</t>
  </si>
  <si>
    <t>El valor ingresado como numero de documento de identidad del destinatario no cumple con el estandar.</t>
  </si>
  <si>
    <t>2759</t>
  </si>
  <si>
    <t>El XML no contiene el atributo o no existe información del tipo de documento del destinatario.</t>
  </si>
  <si>
    <t>2760</t>
  </si>
  <si>
    <t>El valor ingresado como tipo de documento del destinatario es incorrecto.</t>
  </si>
  <si>
    <t>2761</t>
  </si>
  <si>
    <t>El XML no contiene el atributo o no existe información del nombre o razon social del destinatario.</t>
  </si>
  <si>
    <t>2762</t>
  </si>
  <si>
    <t>El valor ingresado como tipo de documento del nombre o razon social del destinatario es incorrecto.</t>
  </si>
  <si>
    <t>2763</t>
  </si>
  <si>
    <t>El XML no contiene el tag o no existe información del número de documento de identidad del tercero relacionado.</t>
  </si>
  <si>
    <t>2764</t>
  </si>
  <si>
    <t>El valor ingresado como numero de documento de identidad del tercero relacionado no cumple con el estandar.</t>
  </si>
  <si>
    <t>2765</t>
  </si>
  <si>
    <t>El XML no contiene el atributo o no existe información del tipo de documento del tercero relacionado.</t>
  </si>
  <si>
    <t>2766</t>
  </si>
  <si>
    <t>El valor ingresado como tipo de documento del tercero relacionado es incorrecto.</t>
  </si>
  <si>
    <t>2767</t>
  </si>
  <si>
    <t>Para exportación, el XML no contiene el tag o no existe informacion del numero de DAM.</t>
  </si>
  <si>
    <t>2768</t>
  </si>
  <si>
    <t>Para importación, el XML no contiene el tag o no existe informacion del numero de manifiesto de carga o numero de DAM.</t>
  </si>
  <si>
    <t>2769</t>
  </si>
  <si>
    <t>El valor ingresado como numero de DAM no cumple con el estandar.</t>
  </si>
  <si>
    <t>2770</t>
  </si>
  <si>
    <t>El valor ingresado como numero de manifiesto de carga no cumple con el estandar.</t>
  </si>
  <si>
    <t>2771</t>
  </si>
  <si>
    <t>El XML no contiene el atributo o no existe informacion en numero de bultos o pallets obligatorio para importación.</t>
  </si>
  <si>
    <t>2772</t>
  </si>
  <si>
    <t>El valor ingresado como numero de bultos o pallets no cumple con el estandar.</t>
  </si>
  <si>
    <t>2773</t>
  </si>
  <si>
    <t>El valor ingresado como modalidad de transporte no es correcto.</t>
  </si>
  <si>
    <t>2774</t>
  </si>
  <si>
    <t>El XML contiene datos de vehiculo o datos de conductores para una operación de transporte publico completo.</t>
  </si>
  <si>
    <t>2775</t>
  </si>
  <si>
    <t>El XML no contiene el atributo o no existe informacion del codigo de ubigeo.</t>
  </si>
  <si>
    <t>2776</t>
  </si>
  <si>
    <t>El valor ingresado como codigo de ubigeo no cumple con el estandar.</t>
  </si>
  <si>
    <t>2777</t>
  </si>
  <si>
    <t>El XML no contiene el atributo o no existe informacion de direccion completa y detallada.</t>
  </si>
  <si>
    <t>2778</t>
  </si>
  <si>
    <t>El valor ingresado como direccion completa y detallada no cumple con el estandar.</t>
  </si>
  <si>
    <t>2779</t>
  </si>
  <si>
    <t>El XML no contiene el atributo o no existe informacion de cantida de items</t>
  </si>
  <si>
    <t>2780</t>
  </si>
  <si>
    <t>El valor ingresado en cantidad de items no cumple con el estandar</t>
  </si>
  <si>
    <t>2781</t>
  </si>
  <si>
    <t>El XML no contiene el atributo o no existe informacion de descripcion del items</t>
  </si>
  <si>
    <t>2782</t>
  </si>
  <si>
    <t>El valor ingresado en descripcion del items no cumple con el estandar</t>
  </si>
  <si>
    <t>2783</t>
  </si>
  <si>
    <t>El valor ingresado en codigo del item no cumple con el estandar.</t>
  </si>
  <si>
    <t>2784</t>
  </si>
  <si>
    <t>Debe consignar codigo de regimen de percepcion (sac:AdditionalMonetaryTotal/cbc:ID@schemeID).</t>
  </si>
  <si>
    <t>2785</t>
  </si>
  <si>
    <t>sac:ReferenceAmount es obligatorio y mayor a cero cuando sac:AdditionalMonetaryTotal/cbc:ID es 2001</t>
  </si>
  <si>
    <t>2786</t>
  </si>
  <si>
    <t>El dato ingresado en sac:ReferenceAmount no cumple con el formato establecido</t>
  </si>
  <si>
    <t>2787</t>
  </si>
  <si>
    <t>Debe consignar la moneda para la Base imponible percepcion.</t>
  </si>
  <si>
    <t>2788</t>
  </si>
  <si>
    <t>El dato ingresado en moneda debe ser PEN</t>
  </si>
  <si>
    <t>2789</t>
  </si>
  <si>
    <t>cbc:PayableAmount es obligatorio y mayor a cero cuando sac:AdditionalMonetaryTotal/cbc:ID es 2001</t>
  </si>
  <si>
    <t>El dato ingresado en cbc:PayableAmount no cumple con el formato establecido</t>
  </si>
  <si>
    <t>2791</t>
  </si>
  <si>
    <t>Debe consignar la moneda para el Monto de la percepcion (cbc:PayableAmount/@currencyID)</t>
  </si>
  <si>
    <t>2792</t>
  </si>
  <si>
    <t>El dato ingresado en moneda del monto de cargo/descuento para percepcion debe ser PEN</t>
  </si>
  <si>
    <t>2793</t>
  </si>
  <si>
    <t>sac:TotalAmount es obligatorio y mayor a cero cuando sac:AdditionalMonetaryTotal/cbc:ID es 2001</t>
  </si>
  <si>
    <t>2794</t>
  </si>
  <si>
    <t>El dato ingresado en sac:TotalAmount no cumple con el formato establecido</t>
  </si>
  <si>
    <t>2795</t>
  </si>
  <si>
    <t>Debe consignar la moneda para el Monto Total incluido la percepcion (sac:TotalAmount/@currencyID)</t>
  </si>
  <si>
    <t>2796</t>
  </si>
  <si>
    <t>El dato ingresado en sac:TotalAmount/@currencyID debe ser PEN</t>
  </si>
  <si>
    <t>2797</t>
  </si>
  <si>
    <t>El Monto de percepcion no puede ser mayor al importe total del comprobante.</t>
  </si>
  <si>
    <t>2798</t>
  </si>
  <si>
    <t>El Monto de percepcion no tiene el valor correcto según el tipo de percepcion.</t>
  </si>
  <si>
    <t>2799</t>
  </si>
  <si>
    <t>sac:TotalAmount no tiene el valor correcto cuando sac:AdditionalMonetaryTotal/cbc:ID es 2001</t>
  </si>
  <si>
    <t>2800</t>
  </si>
  <si>
    <t>El dato ingresado en el tipo de documento de identidad del receptor no esta permitido.</t>
  </si>
  <si>
    <t>2801</t>
  </si>
  <si>
    <t>El DNI ingresado no cumple con el estandar.</t>
  </si>
  <si>
    <t>2802</t>
  </si>
  <si>
    <t>El dato ingresado como numero de documento de identidad del receptor no cumple con el formato establecido</t>
  </si>
  <si>
    <t>2803</t>
  </si>
  <si>
    <t>ID - No cumple con el formato UUID</t>
  </si>
  <si>
    <t>2804</t>
  </si>
  <si>
    <t>La fecha de recepcion del comprobante por OSE, no debe de ser mayor a la fecha de recepcion de SUNAT</t>
  </si>
  <si>
    <t>2805</t>
  </si>
  <si>
    <t>El XML no contiene el tag IssueTime</t>
  </si>
  <si>
    <t>2806</t>
  </si>
  <si>
    <t>IssueTime - El dato ingresado  no cumple con el patrón hh:mm:ss.sssss</t>
  </si>
  <si>
    <t>2807</t>
  </si>
  <si>
    <t>El XML no contiene el tag ResponseDate</t>
  </si>
  <si>
    <t>2808</t>
  </si>
  <si>
    <t>ResponseDate - El dato ingresado  no cumple con el patrón YYYY-MM-DD</t>
  </si>
  <si>
    <t>2809</t>
  </si>
  <si>
    <t>La fecha de recepcion del comprobante por OSE, no debe de ser mayor a la fecha de comprobacion del OSE</t>
  </si>
  <si>
    <t>2810</t>
  </si>
  <si>
    <t>La fecha de comprobacion del comprobante en OSE no puede ser mayor a la fecha de recepcion en SUNAT</t>
  </si>
  <si>
    <t>El XML no contiene el tag ResponseTime</t>
  </si>
  <si>
    <t>ResponseTime - El dato ingresado  no cumple con el patrón hh:mm:ss.sssss</t>
  </si>
  <si>
    <t>El XML no contiene el tag o no existe información del Número de documento de identificación del que envía el CPE (emisor o PSE)</t>
  </si>
  <si>
    <t>El valor ingresado como Número de documento de identificación del que envía el CPE (emisor o PSE) es incorrecto</t>
  </si>
  <si>
    <t>El XML no contiene el atributo schemeID o no existe información del Tipo de documento de identidad del que envía el CPE (emisor o PSE)</t>
  </si>
  <si>
    <t>El valor ingresado como Tipo de documento de identidad del que envía el CPE (emisor o PSE) es incorrecto</t>
  </si>
  <si>
    <t>El XML no contiene el atributo schemeAgencyName o no existe información del Tipo de documento de identidad del que envía el CPE (emisor o PSE)</t>
  </si>
  <si>
    <t>El valor ingresado en el atributo schemeAgencyName del Tipo de documento de identidad del que envía el CPE (emisor o PSE) es incorrecto</t>
  </si>
  <si>
    <t>2820</t>
  </si>
  <si>
    <t>El XML no contiene el atributo schemeURI o no existe información del Tipo de documento de identidad del que envía el CPE (emisor o PSE)</t>
  </si>
  <si>
    <t>El valor ingresado en el atributo schemeURI del Tipo de documento de identidad del que envía el CPE (emisor o PSE) es incorrecto</t>
  </si>
  <si>
    <t>El XML no contiene el tag o no existe información del Número de documento de identificación del OSE</t>
  </si>
  <si>
    <t>El valor ingresado como Número de documento de identificación del OSE es incorrecto</t>
  </si>
  <si>
    <t>El certificado digital con el que se firma el CDR OSE no corresponde con el RUC del OSE informado</t>
  </si>
  <si>
    <t>El Número de documento de identificación del OSE informado no esta registrado en el padron.</t>
  </si>
  <si>
    <t>El XML no contiene el atributo schemeID o no existe información del Tipo de documento de identidad del OSE</t>
  </si>
  <si>
    <t>2827</t>
  </si>
  <si>
    <t>El valor ingresado como Tipo de documento de identidad del OSE es incorrecto</t>
  </si>
  <si>
    <t>2828</t>
  </si>
  <si>
    <t>El XML no contiene el atributo schemeAgencyName o no existe información del Tipo de documento de identidad del OSE</t>
  </si>
  <si>
    <t>El valor ingresado en el atributo schemeAgencyName del Tipo de documento de identidad del OSE es incorrecto</t>
  </si>
  <si>
    <t>2830</t>
  </si>
  <si>
    <t>El XML no contiene el atributo schemeURI o no existe información del Tipo de documento de identidad del OSE</t>
  </si>
  <si>
    <t>2831</t>
  </si>
  <si>
    <t>El valor ingresado en el atributo schemeURI del Tipo de documento de identidad del OSE es incorrecto</t>
  </si>
  <si>
    <t>2832</t>
  </si>
  <si>
    <t>El XML no contiene el tag o no existe información del Código de Respuesta</t>
  </si>
  <si>
    <t>2833</t>
  </si>
  <si>
    <t>El valor ingresado como Código de Respuesta es incorrecto</t>
  </si>
  <si>
    <t>2834</t>
  </si>
  <si>
    <t>El XML no contiene el atributo listAgencyName o no existe información del Código de Respuesta</t>
  </si>
  <si>
    <t>2835</t>
  </si>
  <si>
    <t>El valor ingresado en el atributo listAgencyName del Código de Respuesta es incorrecto</t>
  </si>
  <si>
    <t>2836</t>
  </si>
  <si>
    <t>El XML no contiene el tag o no existe información de la Descripción de la Respuesta</t>
  </si>
  <si>
    <t>2837</t>
  </si>
  <si>
    <t>El valor ingresado como Descripción de la Respuesta es incorrecto</t>
  </si>
  <si>
    <t>2838</t>
  </si>
  <si>
    <t>El valor ingresado como Código de observación es incorrecto</t>
  </si>
  <si>
    <t>2839</t>
  </si>
  <si>
    <t>El XML no contiene el atributo listURI o no existe información del Código de observación</t>
  </si>
  <si>
    <t>2840</t>
  </si>
  <si>
    <t>El valor ingresado en el atributo listURI del Código de observación es incorrecto</t>
  </si>
  <si>
    <t>2841</t>
  </si>
  <si>
    <t>El XML no contiene el tag o no existe información de la Descripción de la observación</t>
  </si>
  <si>
    <t>2842</t>
  </si>
  <si>
    <t>El valor ingresado como Descripción de la observación es incorrecto</t>
  </si>
  <si>
    <t>2843</t>
  </si>
  <si>
    <t>Se ha encontrado mas de una Descripción de la observación, tag cac:Response/cac:Status/cbc:StatusReason</t>
  </si>
  <si>
    <t>2844</t>
  </si>
  <si>
    <t>No se encontro el tag cbc:StatusReasonCode cuando ingresó la Descripción de la observación</t>
  </si>
  <si>
    <t>2845</t>
  </si>
  <si>
    <t>El XML contiene mas de un elemento cac:DocumentReference</t>
  </si>
  <si>
    <t>2846</t>
  </si>
  <si>
    <t>El XML no contiene informacion en el tag cac:DocumentReference/cbc:ID</t>
  </si>
  <si>
    <t>2848</t>
  </si>
  <si>
    <t>El valor ingresado como Serie y número del comprobante no corresponde con el del comprobante</t>
  </si>
  <si>
    <t>2849</t>
  </si>
  <si>
    <t>El XML no contiene el tag o no existe información de la Fecha de emisión del comprobante</t>
  </si>
  <si>
    <t>2851</t>
  </si>
  <si>
    <t>El valor ingresado como Fecha de emisión del comprobante no corresponde con el del comprobante</t>
  </si>
  <si>
    <t>2852</t>
  </si>
  <si>
    <t>El XML no contiene el tag o no existe información de la Hora de emisión del comprobante</t>
  </si>
  <si>
    <t>2853</t>
  </si>
  <si>
    <t>El valor ingresado como Hora de emisión del comprobante no cumple con el patrón hh:mm:ss.sssss</t>
  </si>
  <si>
    <t>2854</t>
  </si>
  <si>
    <t>El valor ingresado como Hora de emisión del comprobante no corresponde con el del comprobante</t>
  </si>
  <si>
    <t>2855</t>
  </si>
  <si>
    <t>El XML no contiene el tag o no existe información del Tipo de comprobante</t>
  </si>
  <si>
    <t>2856</t>
  </si>
  <si>
    <t>El valor ingresado como Tipo de comprobante es incorrecto</t>
  </si>
  <si>
    <t>2857</t>
  </si>
  <si>
    <t>El valor ingresado como Tipo de comprobante no corresponde con el del comprobante</t>
  </si>
  <si>
    <t>2858</t>
  </si>
  <si>
    <t>El XML no contiene el tag o no existe información del Hash del comprobante</t>
  </si>
  <si>
    <t>2859</t>
  </si>
  <si>
    <t>El valor ingresado como Hash del comprobante es incorrecto</t>
  </si>
  <si>
    <t>2860</t>
  </si>
  <si>
    <t>El valor ingresado como Hash del comprobante no corresponde con el del comprobante</t>
  </si>
  <si>
    <t>2861</t>
  </si>
  <si>
    <t>El XML no contiene el tag o no existe información del Número de documento de identificación del emisor</t>
  </si>
  <si>
    <t>2862</t>
  </si>
  <si>
    <t>El valor ingresado como Número de documento de identificación del emisor es incorrecto</t>
  </si>
  <si>
    <t>2863</t>
  </si>
  <si>
    <t>El valor ingresado como Número de documento de identificación del emisor no corresponde con el del comprobante</t>
  </si>
  <si>
    <t>2864</t>
  </si>
  <si>
    <t>El XML no contiene el atributo o no existe información del Tipo de documento de identidad del emisor</t>
  </si>
  <si>
    <t>2865</t>
  </si>
  <si>
    <t>El valor ingresado como Tipo de documento de identidad del emisor es incorrecto</t>
  </si>
  <si>
    <t>2866</t>
  </si>
  <si>
    <t>El valor ingresado como Tipo de documento de identidad del emisor no corresponde con el del comprobante</t>
  </si>
  <si>
    <t>2867</t>
  </si>
  <si>
    <t>El XML no contiene el tag o no existe información del Número de documento de identificación del receptor</t>
  </si>
  <si>
    <t>2868</t>
  </si>
  <si>
    <t>El valor ingresado como Número de documento de identificación del receptor es incorrecto</t>
  </si>
  <si>
    <t>2869</t>
  </si>
  <si>
    <t>El valor ingresado como Número de documento de identificación del receptor no corresponde con el del comprobante</t>
  </si>
  <si>
    <t>2870</t>
  </si>
  <si>
    <t>El XML no contiene el atributo o no existe información del Tipo de documento de identidad del receptor</t>
  </si>
  <si>
    <t>2871</t>
  </si>
  <si>
    <t>El valor ingresado como Tipo de documento de identidad del receptor es incorrecto</t>
  </si>
  <si>
    <t>2872</t>
  </si>
  <si>
    <t>El valor ingresado como Tipo de documento de identidad del receptor no corresponde con el del comprobante</t>
  </si>
  <si>
    <t>2873</t>
  </si>
  <si>
    <t>El PSE informado no se encuentra vinculado con el  emisor del comprobante en la fecha de comprobación</t>
  </si>
  <si>
    <t>2874</t>
  </si>
  <si>
    <t>El Número de documento de identificación del OSE informado no se encuentra vinculado al emisor del comprobante en la fecha de comprobación</t>
  </si>
  <si>
    <t>2875</t>
  </si>
  <si>
    <t>ID - El dato ingresado no cumple con el formato R#-fecha-correlativo</t>
  </si>
  <si>
    <t>2876</t>
  </si>
  <si>
    <t>La fecha de recepción del comprobante por OSE debe ser mayor a la fecha de emisión del comprobante enviado</t>
  </si>
  <si>
    <t>2880</t>
  </si>
  <si>
    <t>Es obligatorio ingresar el peso bruto total de la guía</t>
  </si>
  <si>
    <t>2881</t>
  </si>
  <si>
    <t>Es obligatorio indicar la unidad de medida del Peso Total de la guía</t>
  </si>
  <si>
    <t>2883</t>
  </si>
  <si>
    <t>Es obligatorio indicar la unidad de medida del ítem</t>
  </si>
  <si>
    <t>2891</t>
  </si>
  <si>
    <t>La tasa de percepción no existe en el catálogo</t>
  </si>
  <si>
    <t>2892</t>
  </si>
  <si>
    <t>El valor del tag no cumple con el formato establecido</t>
  </si>
  <si>
    <t>2893</t>
  </si>
  <si>
    <t>El valor no cumple con el formato establecido o es menor o igual a cero (0)</t>
  </si>
  <si>
    <t>2894</t>
  </si>
  <si>
    <t>2895</t>
  </si>
  <si>
    <t>2896</t>
  </si>
  <si>
    <t>El código ingresado como estado del ítem no existe en el catálogo</t>
  </si>
  <si>
    <t>2897</t>
  </si>
  <si>
    <t>2900</t>
  </si>
  <si>
    <t>El Número de comprobante de fin de rango debe ser igual o mayor al de inicio</t>
  </si>
  <si>
    <t>2901</t>
  </si>
  <si>
    <t>El nombre comercial del emisor no cumple con el formato establecido</t>
  </si>
  <si>
    <t>2902</t>
  </si>
  <si>
    <t>La urbanización del domicilio fiscal del emisor no cumple con el formato establecido</t>
  </si>
  <si>
    <t>2903</t>
  </si>
  <si>
    <t>La provincia del domicilio fiscal del emisor no cumple con el formato establecido</t>
  </si>
  <si>
    <t>2904</t>
  </si>
  <si>
    <t>El departamento del domicilio fiscal del emisor no cumple con el formato establecido</t>
  </si>
  <si>
    <t>2905</t>
  </si>
  <si>
    <t>El distrito del domicilio fiscal del emisor no cumple con el formato establecido</t>
  </si>
  <si>
    <t>2906</t>
  </si>
  <si>
    <t>El nombre comercial del proveedor no cumple con el formato establecido</t>
  </si>
  <si>
    <t>2907</t>
  </si>
  <si>
    <t>La urbanización del domicilio fiscal del proveedor no cumple con el formato establecido</t>
  </si>
  <si>
    <t>2908</t>
  </si>
  <si>
    <t>La provincia del domicilio fiscal del proveedor no cumple con el formato establecido</t>
  </si>
  <si>
    <t>2909</t>
  </si>
  <si>
    <t>El departamento del domicilio fiscal del proveedor no cumple con el formato establecido</t>
  </si>
  <si>
    <t>El distrito del domicilio fiscal del proveedor no cumple con el formato establecido</t>
  </si>
  <si>
    <t>2911</t>
  </si>
  <si>
    <t>El nombre comercial del cliente no cumple con el formato establecido</t>
  </si>
  <si>
    <t>2912</t>
  </si>
  <si>
    <t>La urbanización del domicilio fiscal del cliente no cumple con el formato establecido</t>
  </si>
  <si>
    <t>2913</t>
  </si>
  <si>
    <t>La provincia del domicilio fiscal del cliente no cumple con el formato establecido</t>
  </si>
  <si>
    <t>2914</t>
  </si>
  <si>
    <t>El departamento del domicilio fiscal del cliente no cumple con el formato establecido</t>
  </si>
  <si>
    <t>2915</t>
  </si>
  <si>
    <t>El distrito del domicilio fiscal del cliente no cumple con el formato establecido</t>
  </si>
  <si>
    <t>2916</t>
  </si>
  <si>
    <t>La dirección completa y detallada del domicilio fiscal del emisor no cumple con el formato establecido</t>
  </si>
  <si>
    <t>2917</t>
  </si>
  <si>
    <t>Debe corresponder a algún valor válido establecido en el catálogo 13</t>
  </si>
  <si>
    <t>2918</t>
  </si>
  <si>
    <t>La dirección completa y detallada del domicilio fiscal del proveedor no cumple con el formato establecido</t>
  </si>
  <si>
    <t>2919</t>
  </si>
  <si>
    <t>La dirección completa y detallada del domicilio fiscal del cliente no cumple con el formato establecido</t>
  </si>
  <si>
    <t>2921</t>
  </si>
  <si>
    <t>Es obligatorio informar el detalle el tipo de servicio público</t>
  </si>
  <si>
    <t>2922</t>
  </si>
  <si>
    <t>El valor del Tag no se encuentra en el catálogo</t>
  </si>
  <si>
    <t>2923</t>
  </si>
  <si>
    <t>Es obligatorio informar el código de servicios de telecomunicaciones para el tipo servicio público informado</t>
  </si>
  <si>
    <t>2924</t>
  </si>
  <si>
    <t>Sólo enviar información para el tipos de servicios públicos 5</t>
  </si>
  <si>
    <t>2925</t>
  </si>
  <si>
    <t>2926</t>
  </si>
  <si>
    <t>Es obligatorio informar el número del suministro para el tipo servicio público informado</t>
  </si>
  <si>
    <t>2927</t>
  </si>
  <si>
    <t>Comprobante de Servicio Publico no se encuenta registrado en sunat</t>
  </si>
  <si>
    <t>2928</t>
  </si>
  <si>
    <t>El valor del Tag no cumple con el tipo y longitud esperada</t>
  </si>
  <si>
    <t>2929</t>
  </si>
  <si>
    <t>Debe remitir información del número de teléfono para el código de servicios de telecomunicaciones informado</t>
  </si>
  <si>
    <t>El tipo de documento modificado por la Nota de debito debe ser Servicio Publico electronico</t>
  </si>
  <si>
    <t>2931</t>
  </si>
  <si>
    <t>2932</t>
  </si>
  <si>
    <t>Es obligatorio informar el código de tarifa contratada para el tipo servicio público informado</t>
  </si>
  <si>
    <t>2933</t>
  </si>
  <si>
    <t>Sólo enviar información para el tipos de servicios públicos 1 o 2</t>
  </si>
  <si>
    <t>2934</t>
  </si>
  <si>
    <t>2935</t>
  </si>
  <si>
    <t>Es obligatorio informar la unidad de medida</t>
  </si>
  <si>
    <t>2936</t>
  </si>
  <si>
    <t>El dato ingresado como unidad de medida no corresponde al valor esperado</t>
  </si>
  <si>
    <t>2937</t>
  </si>
  <si>
    <t>Es obligatorio informar el detalle de la potencia contratada</t>
  </si>
  <si>
    <t>2938</t>
  </si>
  <si>
    <t>Sólo enviar información para el tipo de servicios público 1</t>
  </si>
  <si>
    <t>2939</t>
  </si>
  <si>
    <t>2940</t>
  </si>
  <si>
    <t xml:space="preserve">Es obligatorio informar el tipo de medidor </t>
  </si>
  <si>
    <t>2941</t>
  </si>
  <si>
    <t>2942</t>
  </si>
  <si>
    <t>2943</t>
  </si>
  <si>
    <t>Es obligatorio informar el número del medidor</t>
  </si>
  <si>
    <t>2944</t>
  </si>
  <si>
    <t>2945</t>
  </si>
  <si>
    <t>2946</t>
  </si>
  <si>
    <t>Debe informar el consumo del periodo</t>
  </si>
  <si>
    <t>2947</t>
  </si>
  <si>
    <t>No existe el detalle del número del medidor</t>
  </si>
  <si>
    <t>2948</t>
  </si>
  <si>
    <t>2949</t>
  </si>
  <si>
    <t>El impuesto ICBPER no se encuentra vigente</t>
  </si>
  <si>
    <t>2950</t>
  </si>
  <si>
    <t>El comprobante ha sido presentado fuera de plazo</t>
  </si>
  <si>
    <t>2951</t>
  </si>
  <si>
    <t>2952</t>
  </si>
  <si>
    <t>2953</t>
  </si>
  <si>
    <t>2954</t>
  </si>
  <si>
    <t>El valor ingresado como codigo de motivo de cargo/descuento por linea no es valido (catalogo 53)</t>
  </si>
  <si>
    <t>2955</t>
  </si>
  <si>
    <t>El formato ingresado en el tag cac:InvoiceLine/cac:Allowancecharge/cbc:Amount no cumple con el formato establecido</t>
  </si>
  <si>
    <t>2956</t>
  </si>
  <si>
    <t>El Monto total de impuestos es obligatorio</t>
  </si>
  <si>
    <t>2957</t>
  </si>
  <si>
    <t>El comprobante no puede ser dado de baja por exceder el plazo desde su fecha de emision</t>
  </si>
  <si>
    <t>2958</t>
  </si>
  <si>
    <t>El comprobante no puede ser dado de baja por exceder el plazo desde su fecha de recepcion</t>
  </si>
  <si>
    <t>2959</t>
  </si>
  <si>
    <t>El valor del atributo del tag cac:TaxTotal/cac:TaxSubtotal/cac:TaxCategory/cbc:ID/ no corresponde al esperado.</t>
  </si>
  <si>
    <t>2960</t>
  </si>
  <si>
    <t>El valor del tag no corresponde al esperado.</t>
  </si>
  <si>
    <t>2961</t>
  </si>
  <si>
    <t>El valor del tag codigo de tributo internacional no corresponde al esperado.</t>
  </si>
  <si>
    <t>2962</t>
  </si>
  <si>
    <t>El valor del atributo del tag cac:TaxTotal/cac:TaxSubtotal/cac:TaxCategory/cac:TaxScheme/cbc:ID no corresponde al esperado.</t>
  </si>
  <si>
    <t>2963</t>
  </si>
  <si>
    <t>2964</t>
  </si>
  <si>
    <t>El valor del tag nombre del tributo no corresponde al esperado.</t>
  </si>
  <si>
    <t>2965</t>
  </si>
  <si>
    <t>La sumatoria de otros tributos no corresponde al total</t>
  </si>
  <si>
    <t>2966</t>
  </si>
  <si>
    <t>Sólo se puede indicar el códigos 55 del catálogo 53</t>
  </si>
  <si>
    <t>2967</t>
  </si>
  <si>
    <t>Los importes de otros cargos a nivel de línea no corresponden a la suma total.</t>
  </si>
  <si>
    <t>2968</t>
  </si>
  <si>
    <t xml:space="preserve">El dato ingresado en cac:AllowanceCharge/cbc:Amount no cumple con el formato establecido. </t>
  </si>
  <si>
    <t>2969</t>
  </si>
  <si>
    <t>2970</t>
  </si>
  <si>
    <t>El dato ingresado en sac:SUNATTotalPaidBeforeRounding debe ser numérico mayor a cero</t>
  </si>
  <si>
    <t>2971</t>
  </si>
  <si>
    <t>Si existe tag sac:SUNATTotalPaidBeforeRounding debe existir tag cbc:PayableRoundingAmount</t>
  </si>
  <si>
    <t>2972</t>
  </si>
  <si>
    <t>Importe total pagado antes de redondeo debe ser igual a la suma de los importes pagados por cada documento relacionado</t>
  </si>
  <si>
    <t>2973</t>
  </si>
  <si>
    <t>El valor de la moneda del Importe total pagado antes de redondeo debe ser PEN</t>
  </si>
  <si>
    <t>2974</t>
  </si>
  <si>
    <t>El dato ingresado en cbc:PayableRoundingAmount debe ser numérico valido</t>
  </si>
  <si>
    <t>2975</t>
  </si>
  <si>
    <t>Si existe tag cbc:PayableRoundingAmount debe existir tag sac:SUNATTotalPaidBeforeRounding</t>
  </si>
  <si>
    <t>2976</t>
  </si>
  <si>
    <t>El valor para el ajuste por redondeo no es válido</t>
  </si>
  <si>
    <t>2977</t>
  </si>
  <si>
    <t>El valor de la moneda del Ajuste por redondeo debe ser PEN</t>
  </si>
  <si>
    <t>2978</t>
  </si>
  <si>
    <t>Importe total pagado debe ser igual a la suma del Importe total pagado antes de redondeo mas el Ajuste por redondeo</t>
  </si>
  <si>
    <t>2979</t>
  </si>
  <si>
    <t>El dato ingresado en sac:SUNATTotalCashedBeforeRounding debe ser numérico mayor a cero</t>
  </si>
  <si>
    <t>2980</t>
  </si>
  <si>
    <t>Si existe tag sac:SUNATTotalCashedBeforeRounding debe existir tag cbc:PayableRoundingAmount</t>
  </si>
  <si>
    <t>2981</t>
  </si>
  <si>
    <t>Importe total cobrado antes de redondeo debe ser igual a la suma de los importes cobrados por cada documento relacionado</t>
  </si>
  <si>
    <t>2982</t>
  </si>
  <si>
    <t>El valor de la moneda del Importe total cobrado antes de redondeo debe ser PEN</t>
  </si>
  <si>
    <t>2983</t>
  </si>
  <si>
    <t>Si existe tag cbc:PayableRoundingAmount debe existir tag sac:SUNATTotalCashedBeforeRounding</t>
  </si>
  <si>
    <t>2984</t>
  </si>
  <si>
    <t>Importe total cobrado debe ser igual a la suma del Importe total cobrado antes de redondeo mas el Ajuste por redondeo</t>
  </si>
  <si>
    <t>2985</t>
  </si>
  <si>
    <t>Solo se acepta comprobantes con fecha de emisión hasta el 28/02/2014 si la tasa del comprobante de retencion 6%</t>
  </si>
  <si>
    <t>2986</t>
  </si>
  <si>
    <t>Solo se acepta informacion de percepcion para nuevas boletas.</t>
  </si>
  <si>
    <t>2987</t>
  </si>
  <si>
    <t>El comprobante ya fue informado y se encuentra anulado o rechazado.</t>
  </si>
  <si>
    <t>2988</t>
  </si>
  <si>
    <t>El comprobante (fisico) a la que hace referencia la nota, no se encuentra autorizado.</t>
  </si>
  <si>
    <t>2989</t>
  </si>
  <si>
    <t>El comprobante (electronico) a la que hace referencia la nota, no se encuentra informado.</t>
  </si>
  <si>
    <t>2990</t>
  </si>
  <si>
    <t>El comprobante (electronico) a la que hace referencia la nota, se encuentra anulado o rechazada.</t>
  </si>
  <si>
    <t>2991</t>
  </si>
  <si>
    <t>El tipo de documento modificado por la Nota de credito debe ser comprobante de servicio publico</t>
  </si>
  <si>
    <t>2992</t>
  </si>
  <si>
    <t>El XML no contiene el tag de la tasa del tributo de la línea</t>
  </si>
  <si>
    <t>2993</t>
  </si>
  <si>
    <t>El factor de afectación de IGV por linea debe ser diferente a 0.00.</t>
  </si>
  <si>
    <t>2994</t>
  </si>
  <si>
    <t>La categoría de impuesto de la línea no corresponde al valor esperado (catalogo 5)</t>
  </si>
  <si>
    <t>2995</t>
  </si>
  <si>
    <t>El XML no contiene el tag o no existe información del código internacional de tributo de la línea</t>
  </si>
  <si>
    <t>2996</t>
  </si>
  <si>
    <t>El XML no contiene el tag o no existe información del nombre de tributo de la línea</t>
  </si>
  <si>
    <t>2997</t>
  </si>
  <si>
    <t>El XML no contiene el tag o no existe información del código de tributo de la línea</t>
  </si>
  <si>
    <t>2998</t>
  </si>
  <si>
    <t>El código de tributo de la línea no corresponde al valor esperado</t>
  </si>
  <si>
    <t>2999</t>
  </si>
  <si>
    <t>El dato ingresado en el total valor de venta globales no cumple con el formato establecido</t>
  </si>
  <si>
    <t xml:space="preserve">El monto total del impuestos sobre el valor de venta de operaciones gratuitas/inafectas/exoneradas debe ser igual a 0.00 </t>
  </si>
  <si>
    <t>El Código producto de SUNAT no puede ser vacio si es de Exportacion</t>
  </si>
  <si>
    <t>El Código producto de SUNAT  no es válido</t>
  </si>
  <si>
    <t>El XML no contiene el tag o no existe información de total valor de venta globales</t>
  </si>
  <si>
    <t>El XML no contiene el tag o no existe información de la categoría de impuesto globales</t>
  </si>
  <si>
    <t>El XML no contiene el tag o no existe información del código de tributo en operaciones inafectas/exoneradas</t>
  </si>
  <si>
    <t>El dato ingresado en descripcion de leyenda no cumple con el formato establecido.</t>
  </si>
  <si>
    <t>El dato ingresado como codigo de tributo global no corresponde al valor esperado.</t>
  </si>
  <si>
    <t>La sumatoria del total valor de venta - Otros tributos de pago de línea no corresponden al total</t>
  </si>
  <si>
    <t>La sumatoria del total del importe del tributo Otros tributos de línea no corresponden al total</t>
  </si>
  <si>
    <t>El XML no contiene el tag o no existe información de total valor de venta en operaciones gravadas</t>
  </si>
  <si>
    <t>El dato ingresado en el total valor de venta en operaciones gravadas  no cumple con el formato establecido</t>
  </si>
  <si>
    <t>El dato ingresado en el importe del tributo en operaciones gravadas  no cumple con el formato establecido</t>
  </si>
  <si>
    <t>3013</t>
  </si>
  <si>
    <t>El XML no contiene el tag o no existe información de la categoría de impuesto en operaciones gravadas</t>
  </si>
  <si>
    <t>3014</t>
  </si>
  <si>
    <t>El codigo de leyenda no debe repetirse en el comprobante.</t>
  </si>
  <si>
    <t>3015</t>
  </si>
  <si>
    <t>El XML no contiene el tag o no existe información del código de tributo en operaciones gravadas</t>
  </si>
  <si>
    <t>3016</t>
  </si>
  <si>
    <t>El dato ingresado en base monto por cargo/descuento globales no cumple con el formato establecido</t>
  </si>
  <si>
    <t>3017</t>
  </si>
  <si>
    <t>El XML no contiene el tag o no existe información del nombre de tributo en operaciones gravadas</t>
  </si>
  <si>
    <t>3018</t>
  </si>
  <si>
    <t>El XML no contiene el tag o no existe información del código internacional del tributo en operaciones gravadas</t>
  </si>
  <si>
    <t>3019</t>
  </si>
  <si>
    <t>El dato ingresado en total precio de venta no cumple con el formato establecido</t>
  </si>
  <si>
    <t>El dato ingresado en el monto total de impuestos no cumple con el formato establecido</t>
  </si>
  <si>
    <t>3021</t>
  </si>
  <si>
    <t>El dato ingresado en el monto total de impuestos por línea no cumple con el formato establecido</t>
  </si>
  <si>
    <t>3022</t>
  </si>
  <si>
    <t>El importe total de impuestos por línea no coincide con la sumatoria de los impuestos por línea.</t>
  </si>
  <si>
    <t>3023</t>
  </si>
  <si>
    <t xml:space="preserve">El tipo de documento no se encuentra en el catálogo </t>
  </si>
  <si>
    <t>3024</t>
  </si>
  <si>
    <t>El tag cac:TaxTotal no debe repetirse a nivel de totales</t>
  </si>
  <si>
    <t>3025</t>
  </si>
  <si>
    <t>El dato ingresado en factor de cargo o descuento global no cumple con el formato establecido.</t>
  </si>
  <si>
    <t>3026</t>
  </si>
  <si>
    <t>El tag cac:TaxTotal no debe repetirse a nivel de Item</t>
  </si>
  <si>
    <t>3027</t>
  </si>
  <si>
    <t>El valor del atributo no se encuentra en el catálogo</t>
  </si>
  <si>
    <t>3028</t>
  </si>
  <si>
    <t>El dato ingresado en código de SW de facturación no cumple con el formato establecido.</t>
  </si>
  <si>
    <t>3029</t>
  </si>
  <si>
    <t>El XML no contiene el tag o no existe información del tipo de documento de identidad del emisor</t>
  </si>
  <si>
    <t>El XML no contiene el tag o no existe información del código de local anexo del emisor</t>
  </si>
  <si>
    <t>3031</t>
  </si>
  <si>
    <t>El dato ingresado en TaxableAmount de la linea no cumple con el formato establecido</t>
  </si>
  <si>
    <t>3032</t>
  </si>
  <si>
    <t>El XML no contiene el tag o no existe información de la categoría de impuesto de la línea</t>
  </si>
  <si>
    <t>3033</t>
  </si>
  <si>
    <t>El codigo de bien o servicio sujeto a detracción no existe en el listado.</t>
  </si>
  <si>
    <t>3034</t>
  </si>
  <si>
    <t>El xml no contiene el tag o no existe información en el nro de cuenta de detracción</t>
  </si>
  <si>
    <t>3035</t>
  </si>
  <si>
    <t>El xml no contiene el tag o no existe información en el monto de detraccion</t>
  </si>
  <si>
    <t>3036</t>
  </si>
  <si>
    <t>El XML no contiene el tag o no existe información del nombre del tributo</t>
  </si>
  <si>
    <t>3037</t>
  </si>
  <si>
    <t>El dato ingresado en monto de detraccion no cumple con el formato establecido</t>
  </si>
  <si>
    <t>3038</t>
  </si>
  <si>
    <t>La sumatoria de los IGV (operaciones gravadas) de línea no corresponden al total</t>
  </si>
  <si>
    <t>3039</t>
  </si>
  <si>
    <t>La sumatoria del total valor de venta - operaciones gravadas de línea no corresponden al total</t>
  </si>
  <si>
    <t>La sumatoria del total valor de venta - Exportaciones de línea no corresponden al total</t>
  </si>
  <si>
    <t>3041</t>
  </si>
  <si>
    <t>La sumatoria del total valor de venta - operaciones inafectas de línea no corresponden al total</t>
  </si>
  <si>
    <t>3042</t>
  </si>
  <si>
    <t>La sumatoria del total valor de venta - operaciones exoneradas de línea no corresponden al total</t>
  </si>
  <si>
    <t>3043</t>
  </si>
  <si>
    <t>El XML no contiene el tag o no existe información de total valor de venta ISC e IVAP</t>
  </si>
  <si>
    <t>3044</t>
  </si>
  <si>
    <t>El dato ingresado en el total valor de venta ISC e IVAP no cumple con el formato establecido</t>
  </si>
  <si>
    <t>3045</t>
  </si>
  <si>
    <t>La sumatoria del total valor de venta - ISC de línea no corresponden al total</t>
  </si>
  <si>
    <t>3046</t>
  </si>
  <si>
    <t>La sumatoria del total valor de venta - IVAP de línea no corresponden al total</t>
  </si>
  <si>
    <t>3047</t>
  </si>
  <si>
    <t>El dato ingresado en el importe del tributo para ISC e IVAP no cumple con el formato establecido</t>
  </si>
  <si>
    <t>3048</t>
  </si>
  <si>
    <t>La sumatoria del total del importe del tributo ISC de línea no corresponden al total</t>
  </si>
  <si>
    <t>3049</t>
  </si>
  <si>
    <t>El importe del IVAP no corresponden al determinado por la información consignada.</t>
  </si>
  <si>
    <t>Afectación de IGV no corresponde al código de tributo de la linea.</t>
  </si>
  <si>
    <t>Nombre de tributo no corresponde al código de tributo de la linea.</t>
  </si>
  <si>
    <t>El factor de cargo/descuento por linea no cumple con el formato establecido.</t>
  </si>
  <si>
    <t>El Monto base de cargo/descuento por linea no cumple con el formato establecido.</t>
  </si>
  <si>
    <t>El XML no contiene el tag o no existe información de la categoría de impuesto en ISC o IVAP</t>
  </si>
  <si>
    <t>Si el código de tributo es 2000, la categoría del tributo debe ser S</t>
  </si>
  <si>
    <t>Si el código de tributo es 1016, la categoría del tributo debe ser S</t>
  </si>
  <si>
    <t>La sumatoria del total valor de venta - operaciones gratuitas de línea no corresponden al total</t>
  </si>
  <si>
    <t>El XML no contiene el tag o no existe información del código de tributo para ISC o IVAP</t>
  </si>
  <si>
    <t>el XML no contiene el tag o no existe información de código de tributo.</t>
  </si>
  <si>
    <t>El valor del tag código de tributo no corresponde al esperado.</t>
  </si>
  <si>
    <t>3061</t>
  </si>
  <si>
    <t>No se permite importe mayor a cero cuando el codigo de tributo es IVAP y el comprobante esta sujeta a IVAP</t>
  </si>
  <si>
    <t>3062</t>
  </si>
  <si>
    <t>La tasa o porcentaje de detracción no corresponde al valor esperado.</t>
  </si>
  <si>
    <t>3063</t>
  </si>
  <si>
    <t>El XML no contiene el tag de matricula de embarcación en Detracciones para recursos hidrobiologicos.</t>
  </si>
  <si>
    <t>3064</t>
  </si>
  <si>
    <t>El XML no contiene tag o no existe información del valor del concepto por linea.</t>
  </si>
  <si>
    <t>3065</t>
  </si>
  <si>
    <t>El XML no contiene tag de la fecha del concepto por linea.</t>
  </si>
  <si>
    <t>3066</t>
  </si>
  <si>
    <t>El XML contiene un codigo de tributo no valido para Servicios Publicos.</t>
  </si>
  <si>
    <t>3067</t>
  </si>
  <si>
    <t>El código de tributo no debe repetirse a nivel de item</t>
  </si>
  <si>
    <t>3068</t>
  </si>
  <si>
    <t>El código de tributo no debe repetirse a nivel de totales</t>
  </si>
  <si>
    <t>3069</t>
  </si>
  <si>
    <t>El xml contiene una linea con mas de un codigo de tributo repetitivo.</t>
  </si>
  <si>
    <t>3070</t>
  </si>
  <si>
    <t>EL codigo internacional del tributo por linea no corresponde al valor esperado por su Id.</t>
  </si>
  <si>
    <t>3071</t>
  </si>
  <si>
    <t>El dato ingresado como codigo de motivo de cargo/descuento global no es valido (catalogo nro 53)</t>
  </si>
  <si>
    <t>3072</t>
  </si>
  <si>
    <t>El XML no contiene el tag o no existe informacion de codigo de motivo de cargo/descuento global.</t>
  </si>
  <si>
    <t>3073</t>
  </si>
  <si>
    <t>El XML no contiene el tag o no existe informacion de codigo de motivo de cargo/descuento por item.</t>
  </si>
  <si>
    <t>3074</t>
  </si>
  <si>
    <t xml:space="preserve">El monto del cargo para el para FISE debe ser igual mayor a 0.00 </t>
  </si>
  <si>
    <t>3075</t>
  </si>
  <si>
    <t>La sumatoria de descuentos que afectan a BI por linea no corresponden al total</t>
  </si>
  <si>
    <t>3076</t>
  </si>
  <si>
    <t>La sumatoria de descuentos que no afectan a BI por linea no corresponden al total</t>
  </si>
  <si>
    <t>3077</t>
  </si>
  <si>
    <t>La sumatoria de cargos que afectan a BI por linea no corresponden al total</t>
  </si>
  <si>
    <t>3078</t>
  </si>
  <si>
    <t>La sumatoria de cargos que no afectan a BI por linea no corresponden al total</t>
  </si>
  <si>
    <t>3079</t>
  </si>
  <si>
    <t>La sumatoria de montos bases de los descuentos que afectan a BI por linea no corresponden al total</t>
  </si>
  <si>
    <t>3080</t>
  </si>
  <si>
    <t>La sumatoria de montos bases de los descuentos que no afectan a BI por linea no corresponden al total</t>
  </si>
  <si>
    <t>3081</t>
  </si>
  <si>
    <t>La sumatoria de montos bases de los cargos que afectan a BI por linea no corresponden al total</t>
  </si>
  <si>
    <t>3082</t>
  </si>
  <si>
    <t>La sumatoria de montos bases de los cargos que no afectan a BI por linea no corresponden al total</t>
  </si>
  <si>
    <t>3083</t>
  </si>
  <si>
    <t>El XML no contiene el tag o no existe información del total valor de venta.</t>
  </si>
  <si>
    <t>3084</t>
  </si>
  <si>
    <t>La sumatoria de valor de venta no corresponde a los importes consignados</t>
  </si>
  <si>
    <t>3085</t>
  </si>
  <si>
    <t>El XML no contiene el tag o no existe información del total precio de venta.</t>
  </si>
  <si>
    <t>3086</t>
  </si>
  <si>
    <t>La sumatoria consignados en descuentos globales no corresponden al total.</t>
  </si>
  <si>
    <t>3087</t>
  </si>
  <si>
    <t>La sumatoria consignados en cargos globales no corresponden al total</t>
  </si>
  <si>
    <t>3088</t>
  </si>
  <si>
    <t>El valor ingresado como moneda del comprobante no es valido (catalogo nro 02).</t>
  </si>
  <si>
    <t>3089</t>
  </si>
  <si>
    <t>El XML contiene mas de un tag como elemento de numero de documento del emisor</t>
  </si>
  <si>
    <t>3090</t>
  </si>
  <si>
    <t>El XML contiene mas de un tag como elemento de numero de documento del receptor.</t>
  </si>
  <si>
    <t>Si se tipo de operación es Venta Interna - Sujeta al FISE, debe ingresar cargo para FISE</t>
  </si>
  <si>
    <t>Para cargo/descuento FISE, debe ingresar monto base y debe ser mayor a 0.00</t>
  </si>
  <si>
    <t>3093</t>
  </si>
  <si>
    <t>Si el tipo de operación es Operación Sujeta a Percepción, debe ingresar cargo para Percepción</t>
  </si>
  <si>
    <t>3094</t>
  </si>
  <si>
    <t>El comprobante más "código de operación del ítem" no debe repetirse</t>
  </si>
  <si>
    <t>3095</t>
  </si>
  <si>
    <t>El comprobante no debe ser emitido y editado en el mismo envío</t>
  </si>
  <si>
    <t>3096</t>
  </si>
  <si>
    <t>El comprobante no debe ser editado y anulado en el mismo envío</t>
  </si>
  <si>
    <t>3097</t>
  </si>
  <si>
    <t>El emisor a la fecha no se encuentra registrado ó habilitado en el Registro de exportadores de servicios SUNAT</t>
  </si>
  <si>
    <t>3098</t>
  </si>
  <si>
    <t>El XML no contiene el tag o no existe información del pais de uso, exploración o aprovechamiento</t>
  </si>
  <si>
    <t>El dato ingresado como pais de uso, exploracion o aprovechamiento es incorrecto.</t>
  </si>
  <si>
    <t>El dato ingresado como codigo de tributo por linea es invalido para tipo de operación.</t>
  </si>
  <si>
    <t>3101</t>
  </si>
  <si>
    <t>El factor de afectación de IGV por linea debe ser igual a 0.00 para Exoneradas, Inafectas, Exportación, Gratuitas de exoneradas o Gratuitas de inafectas.</t>
  </si>
  <si>
    <t>3102</t>
  </si>
  <si>
    <t>El dato ingresado como factor de afectacion por linea no cumple con el formato establecido.</t>
  </si>
  <si>
    <t>3103</t>
  </si>
  <si>
    <t>El producto del factor y monto base de la afectación del IGV/IVAP no corresponde al monto de afectacion de linea.</t>
  </si>
  <si>
    <t>3104</t>
  </si>
  <si>
    <t>El factor de afectación de ISC por linea debe ser diferente a 0.00.</t>
  </si>
  <si>
    <t>3105</t>
  </si>
  <si>
    <t>El XML debe contener al menos un tributo por linea de afectacion por IGV (Gravada, Exonerada, Inafecta, Exportación)</t>
  </si>
  <si>
    <t>3106</t>
  </si>
  <si>
    <t>El XML contiene mas de un tributo por linea (Gravado, Exonerado, Inafecto, Exportación)</t>
  </si>
  <si>
    <t>3107</t>
  </si>
  <si>
    <t>El dato ingresado como codigo de tributo global es invalido para tipo de operación.</t>
  </si>
  <si>
    <t>3108</t>
  </si>
  <si>
    <t>El producto del factor y monto base de la afectación del ISC no corresponde al monto de afectacion de linea.</t>
  </si>
  <si>
    <t>3109</t>
  </si>
  <si>
    <t>El producto del factor y monto base de la afectación de otros tributos no corresponde al monto de afectacion de linea.</t>
  </si>
  <si>
    <t>3110</t>
  </si>
  <si>
    <t>El monto de afectacion de IGV por linea debe ser igual a 0.00 para Exoneradas, Inafectas, Exportación, Gratuitas de exoneradas o Gratuitas de inafectas.</t>
  </si>
  <si>
    <t>3111</t>
  </si>
  <si>
    <t>El monto de afectación de IGV por linea debe ser diferente a 0.00.</t>
  </si>
  <si>
    <t>3112</t>
  </si>
  <si>
    <t>La sumatoria de los IGV de operaciones gratuitas de la línea (codigo tributo 9996) no corresponden al total</t>
  </si>
  <si>
    <t>3113</t>
  </si>
  <si>
    <t>El xml contiene información FISE que no corresponde al tipo de operación.</t>
  </si>
  <si>
    <t>3114</t>
  </si>
  <si>
    <t>El dato ingresado como indicador de cargo/descuento no corresponde al valor esperado.</t>
  </si>
  <si>
    <t>3115</t>
  </si>
  <si>
    <t>El dato ingresado como unidad de medida de cantidad de especie vendidas no corresponde al valor esperado.</t>
  </si>
  <si>
    <t>3116</t>
  </si>
  <si>
    <t>El XML no contiene el tag o no existe información del ubigeo de punto de origen en Detracciones - Servicio de transporte de carga.</t>
  </si>
  <si>
    <t>3117</t>
  </si>
  <si>
    <t>El XML no contiene el tag o no existe información de la dirección del punto de origen en Detracciones - Servicio de transporte de carga.</t>
  </si>
  <si>
    <t>3118</t>
  </si>
  <si>
    <t>El XML no contiene el tag o no existe información del ubigeo de punto de destino en Detracciones - Servicio de transporte de carga.</t>
  </si>
  <si>
    <t>3119</t>
  </si>
  <si>
    <t>El XML no contiene el tag o no existe información de la dirección del punto de destino en Detracciones - Servicio de transporte de carga.</t>
  </si>
  <si>
    <t>3120</t>
  </si>
  <si>
    <t>El XML no contiene el tag o no existe información del Detalle del viaje en Detracciones - Servicio de transporte de carga.</t>
  </si>
  <si>
    <t>3121</t>
  </si>
  <si>
    <t>El XML no contiene el tag o no existe información del tipo de valor referencial en Detracciones - Servicios de transporte de carga.</t>
  </si>
  <si>
    <t>3122</t>
  </si>
  <si>
    <t>El XML no contiene el tag o no existe información del monto del valor referencial en Detracciones - Servicios de transporte de carga.</t>
  </si>
  <si>
    <t>3123</t>
  </si>
  <si>
    <t>El dato ingresado como monto valor referencial en Detracciones - Servicios de transporte de carga no cumple con el formato establecido.</t>
  </si>
  <si>
    <t>3124</t>
  </si>
  <si>
    <t>Detracciones - Servicio de transporte de carga, debe tener un (y solo uno) Valor Referencial del Servicio de Transporte.</t>
  </si>
  <si>
    <t>3125</t>
  </si>
  <si>
    <t>Detracciones - Servicio de transporte de carga, debe tener un (y solo uno) Valor Referencial sobre la carga efectiva.</t>
  </si>
  <si>
    <t>3126</t>
  </si>
  <si>
    <t>Detracciones - Servicio de transporte de carga, debe tener un (y solo uno) Valor Referencial sobre la carga util nominal.</t>
  </si>
  <si>
    <t>3127</t>
  </si>
  <si>
    <t>El XML no contiene el tag o no existe información del Codigo de BBSS de detracción para el tipo de operación.</t>
  </si>
  <si>
    <t>3128</t>
  </si>
  <si>
    <t>El XML contiene información de codigo de bien y servicio de detracción que no corresponde al tipo de operación.</t>
  </si>
  <si>
    <t>3129</t>
  </si>
  <si>
    <t>El dato ingresado como codigo de BBSS de detracción no corresponde al valor esperado.</t>
  </si>
  <si>
    <t>3130</t>
  </si>
  <si>
    <t>El XML no contiene el tag de nombre de embarcación en Detracciones para recursos hidrobiologicos.</t>
  </si>
  <si>
    <t>3131</t>
  </si>
  <si>
    <t>El XML no contiene el tag de tipo de especie vendidas en Detracciones para recursos hidrobiologicos.</t>
  </si>
  <si>
    <t>3132</t>
  </si>
  <si>
    <t>El XML no contiene el tag de lugar de descarga en Detracciones para recursos hidrobiologicos.</t>
  </si>
  <si>
    <t>3133</t>
  </si>
  <si>
    <t>El XML no contiene el tag de cantidad de especies vendidas en Detracciones para recursos hidrobiologicos.</t>
  </si>
  <si>
    <t>3134</t>
  </si>
  <si>
    <t>El XML no contiene el tag de fecha de descarga en Detracciones para recursos hidrobiologicos.</t>
  </si>
  <si>
    <t>3135</t>
  </si>
  <si>
    <t>El XML no contiene tag de la cantidad del concepto por linea.</t>
  </si>
  <si>
    <t>3136</t>
  </si>
  <si>
    <t>El XML no contiene el tag de numero de documentos del huesped.</t>
  </si>
  <si>
    <t>3137</t>
  </si>
  <si>
    <t>El XML no contiene el tag de tipo de documentos del huesped.</t>
  </si>
  <si>
    <t>3138</t>
  </si>
  <si>
    <t>El XML no contiene el tag de codigo de pais de emision del documento de identidad</t>
  </si>
  <si>
    <t>3139</t>
  </si>
  <si>
    <t>El XML no contiene el tag de apellidos y nombres del huesped.</t>
  </si>
  <si>
    <t>3140</t>
  </si>
  <si>
    <t>El XML no contiene el tag de codigo del pais de residencia.</t>
  </si>
  <si>
    <t>3141</t>
  </si>
  <si>
    <t>El XML no contiene el tag de fecha de ingreso del pais.</t>
  </si>
  <si>
    <t>3142</t>
  </si>
  <si>
    <t>El XML no contiene el tag de fecha de ingreso al establecimiento.</t>
  </si>
  <si>
    <t>3143</t>
  </si>
  <si>
    <t>El XML no contiene el tag de fecha de salida del establecimiento.</t>
  </si>
  <si>
    <t>3144</t>
  </si>
  <si>
    <t>El XML no contiene el tag de fecha de consumo.</t>
  </si>
  <si>
    <t>3145</t>
  </si>
  <si>
    <t>El XML no contiene el tag de numero de dias de permanencia.</t>
  </si>
  <si>
    <t>3146</t>
  </si>
  <si>
    <t>El XML no contiene el tag de Proveedores Estado: Número de Expediente</t>
  </si>
  <si>
    <t>3147</t>
  </si>
  <si>
    <t>El XML no contiene el tag de Proveedores Estado: Código de Unidad Ejecutora</t>
  </si>
  <si>
    <t>3148</t>
  </si>
  <si>
    <t>El XML no contiene el tag de Proveedores Estado: N° de Proceso de Selección</t>
  </si>
  <si>
    <t>3149</t>
  </si>
  <si>
    <t>El XML no contiene el tag de Proveedores Estado: N° de Contrato</t>
  </si>
  <si>
    <t>3150</t>
  </si>
  <si>
    <t>El XML no contiene el tag de Créditos Hipotecarios: Tipo de préstamo</t>
  </si>
  <si>
    <t>3151</t>
  </si>
  <si>
    <t>El XML no contiene el tag de Créditos Hipotecarios: Partida Registral</t>
  </si>
  <si>
    <t>3152</t>
  </si>
  <si>
    <t>El XML no contiene el tag de Créditos Hipotecarios: Número de contrato</t>
  </si>
  <si>
    <t>3153</t>
  </si>
  <si>
    <t>El XML no contiene el tag de Créditos Hipotecarios: Fecha de otorgamiento del crédito</t>
  </si>
  <si>
    <t>3154</t>
  </si>
  <si>
    <t>El XML no contiene el tag de Créditos Hipotecarios: Dirección del predio - Código de ubigeo</t>
  </si>
  <si>
    <t>3155</t>
  </si>
  <si>
    <t>El XML no contiene el tag de Créditos Hipotecarios: Dirección del predio - Dirección completa</t>
  </si>
  <si>
    <t>3156</t>
  </si>
  <si>
    <t>El XML no contiene el tag de BVME transporte ferroviario: Agente de Viajes: Numero de Ruc</t>
  </si>
  <si>
    <t>3157</t>
  </si>
  <si>
    <t>El XML no contiene el tag de BVME transporte ferroviario: Agente de Viajes: Tipo de documento</t>
  </si>
  <si>
    <t>3158</t>
  </si>
  <si>
    <t>El dato ingresado como Agente de Viajes-Tipo de documento no corresponde al valor esperado.</t>
  </si>
  <si>
    <t>3159</t>
  </si>
  <si>
    <t>El XML no contiene el tag de BVME transporte ferroviario: Pasajero - Apellidos y Nombres</t>
  </si>
  <si>
    <t>3160</t>
  </si>
  <si>
    <t>El XML no contiene el tag de BVME transporte ferroviario: Pasajero - Tipo de documento de identidad</t>
  </si>
  <si>
    <t>3161</t>
  </si>
  <si>
    <t>El XML no contiene el tag de BVME transporte ferroviario: Servicio transporte: Ciudad o lugar de origen - Código de ubigeo</t>
  </si>
  <si>
    <t>3162</t>
  </si>
  <si>
    <t>El XML no contiene el tag de BVME transporte ferroviario: Servicio transporte: Ciudad o lugar de origen - Dirección detallada</t>
  </si>
  <si>
    <t>3163</t>
  </si>
  <si>
    <t>El XML no contiene el tag de BVME transporte ferroviario: Servicio transporte: Ciudad o lugar de destino - Código de ubigeo</t>
  </si>
  <si>
    <t>3164</t>
  </si>
  <si>
    <t>El XML no contiene el tag de BVME transporte ferroviario: Servicio transporte: Ciudad o lugar de destino - Dirección detallada</t>
  </si>
  <si>
    <t>3165</t>
  </si>
  <si>
    <t>El XML no contiene el tag de BVME transporte ferroviario: Servicio transporte:Número de asiento</t>
  </si>
  <si>
    <t>3166</t>
  </si>
  <si>
    <t>El XML no contiene el tag de BVME transporte ferroviario: Servicio transporte: Hora programada de inicio de viaje</t>
  </si>
  <si>
    <t>3167</t>
  </si>
  <si>
    <t>El XML no contiene el tag de BVME transporte ferroviario: Servicio transporte: Fecha programada de inicio de viaje</t>
  </si>
  <si>
    <t>3168</t>
  </si>
  <si>
    <t>El XML no contiene el tag de Carta Porte Aéreo:  Lugar de origen - Código de ubigeo</t>
  </si>
  <si>
    <t>3169</t>
  </si>
  <si>
    <t>El XML no contiene el tag de Carta Porte Aéreo:  Lugar de origen - Dirección detallada</t>
  </si>
  <si>
    <t>3170</t>
  </si>
  <si>
    <t>El XML no contiene el tag de Carta Porte Aéreo:  Lugar de destino - Código de ubigeo</t>
  </si>
  <si>
    <t>3171</t>
  </si>
  <si>
    <t>El XML no contiene el tag de Carta Porte Aéreo:  Lugar de destino - Dirección detallada</t>
  </si>
  <si>
    <t>3172</t>
  </si>
  <si>
    <t>El XML no contiene tag de la Hora del concepto por linea.</t>
  </si>
  <si>
    <t>3173</t>
  </si>
  <si>
    <t>El XML no contiene el tag de BVME transporte ferroviario: Servicio transporte: Forma de Pago</t>
  </si>
  <si>
    <t>3174</t>
  </si>
  <si>
    <t>El dato ingreso como Forma de Pago o Medio de Pago no corresponde al valor esperado (catalogo nro 59)</t>
  </si>
  <si>
    <t>3175</t>
  </si>
  <si>
    <t>El XML no contiene el tag de BVME transporte ferroviario: Servicio de transporte: Número de autorización de la transacción</t>
  </si>
  <si>
    <t>3176</t>
  </si>
  <si>
    <t>El XML no contiene el tag de Regalía Petrolera: Decreto Supremo de aprobación del contrato</t>
  </si>
  <si>
    <t>3177</t>
  </si>
  <si>
    <t>El XML no contiene el tag de Regalía Petrolera: Area de contrato (Lote)</t>
  </si>
  <si>
    <t>3178</t>
  </si>
  <si>
    <t>El XML no contiene el tag de Regalía Petrolera: Periodo de pago - Fecha de inicio</t>
  </si>
  <si>
    <t>3179</t>
  </si>
  <si>
    <t>El XML no contiene el tag de Regalía Petrolera: Periodo de pago - Fecha de fin</t>
  </si>
  <si>
    <t>3180</t>
  </si>
  <si>
    <t>El XML no contiene el tag de Regalía Petrolera: Fecha de Pago</t>
  </si>
  <si>
    <t>3181</t>
  </si>
  <si>
    <t>El dato ingresado como Codigo de producto SUNAT no corresponde al valor esperado para tipo de operación.</t>
  </si>
  <si>
    <t>3182</t>
  </si>
  <si>
    <t>El XML no contiene el tag de Transportre Terreste - Número de asiento</t>
  </si>
  <si>
    <t>3183</t>
  </si>
  <si>
    <t>El XML no contiene el tag de Transporte Terrestre - Información de manifiesto de pasajeros</t>
  </si>
  <si>
    <t>3184</t>
  </si>
  <si>
    <t>El XML no contiene el tag de Transporte Terrestre - Número de documento de identidad del pasajero</t>
  </si>
  <si>
    <t>3185</t>
  </si>
  <si>
    <t>El XML no contiene el tag de Transporte Terrestre - Tipo de documento de identidad del pasajero</t>
  </si>
  <si>
    <t>3186</t>
  </si>
  <si>
    <t>El XML no contiene el tag de Transporte Terrestre - Nombres y apellidos del pasajero</t>
  </si>
  <si>
    <t>3187</t>
  </si>
  <si>
    <t>El XML no contiene el tag de Transporte Terrestre - Ciudad o lugar de destino - Dirección detallada</t>
  </si>
  <si>
    <t>3188</t>
  </si>
  <si>
    <t>El XML no contiene el tag de Transporte Terrestre - Ciudad o lugar de origen - Ubigeo</t>
  </si>
  <si>
    <t>3189</t>
  </si>
  <si>
    <t>El XML no contiene el tag de Transporte Terrestre - Ciudad o lugar de origen - Dirección detallada</t>
  </si>
  <si>
    <t>3190</t>
  </si>
  <si>
    <t>El XML no contiene el tag de Transporte Terrestre - Fecha de inicio programado</t>
  </si>
  <si>
    <t>3191</t>
  </si>
  <si>
    <t>El XML no contiene el tag de Transporte Terrestre - Hora de inicio programado</t>
  </si>
  <si>
    <t>3192</t>
  </si>
  <si>
    <t>El XML no contiene el tag de Total de anticipos</t>
  </si>
  <si>
    <t>3193</t>
  </si>
  <si>
    <t>El dato ingresado Total anticipos no corresponde para el tipo de operación</t>
  </si>
  <si>
    <t>3194</t>
  </si>
  <si>
    <t>Para los ajustes de operaciones de exportación solo es permitido registrar un documento que modifica.</t>
  </si>
  <si>
    <t>3195</t>
  </si>
  <si>
    <t>El xml no contiene el tag de impuesto por linea (TaxtTotal).</t>
  </si>
  <si>
    <t>3196</t>
  </si>
  <si>
    <t>La sumatoria de impuestos globales no corresponde al monto total de impuestos.</t>
  </si>
  <si>
    <t>3197</t>
  </si>
  <si>
    <t>El XML no contiene el tag de Transporte Terrestre - Ciudad o lugar de destino - Ubigeo</t>
  </si>
  <si>
    <t>3198</t>
  </si>
  <si>
    <t>La fecha de cierre no puede ser inferior a la fecha de inicio del cómputo del ciclo de facturación</t>
  </si>
  <si>
    <t>3199</t>
  </si>
  <si>
    <t>Si utiliza el estandar GS1 debe especificar el tipo de estructura GTIN</t>
  </si>
  <si>
    <t>3200</t>
  </si>
  <si>
    <t>El tipo de estructura GS1 no tiene un valor permitido</t>
  </si>
  <si>
    <t>3201</t>
  </si>
  <si>
    <t>El código de producto GS1 no cumple el estandar</t>
  </si>
  <si>
    <t>3202</t>
  </si>
  <si>
    <t>El numero de RUC del receptor no existe.</t>
  </si>
  <si>
    <t>3203</t>
  </si>
  <si>
    <t>El tipo de nota es un dato único</t>
  </si>
  <si>
    <t>3204</t>
  </si>
  <si>
    <t>El XML no contiene el tag de BVME transporte ferroviario: Pasajero - Número de documento de identidad</t>
  </si>
  <si>
    <t>3205</t>
  </si>
  <si>
    <t>Debe consignar el tipo de operación</t>
  </si>
  <si>
    <t>3206</t>
  </si>
  <si>
    <t>El dato ingresado como tipo de operación no corresponde a un valor esperado (catálogo nro. 51)</t>
  </si>
  <si>
    <t>3207</t>
  </si>
  <si>
    <t>Comprobante físico no se encuentra autorizado como comprobante de contingencia</t>
  </si>
  <si>
    <t>3208</t>
  </si>
  <si>
    <t>La moneda del monto de la detracción debe ser PEN</t>
  </si>
  <si>
    <t>3209</t>
  </si>
  <si>
    <t>El tipo de moneda de la nota debe ser el mismo que el declarado en el documento que modifica</t>
  </si>
  <si>
    <t>3210</t>
  </si>
  <si>
    <t>Solo debe consignar sistema de calculo si el tributo es ISC</t>
  </si>
  <si>
    <t>Falta identificador del pago del Monto de anticipo para relacionarlo con el comprobante que se realizo el  anticipo</t>
  </si>
  <si>
    <t>El comprobante contiene un identificador de pago repetido en los montos anticipados</t>
  </si>
  <si>
    <t>3213</t>
  </si>
  <si>
    <t>El comprobante contiene un pago anticipado pero no se ha consignado el documento que se realizo el anticipo</t>
  </si>
  <si>
    <t>3214</t>
  </si>
  <si>
    <t>No existe información del Monto Anticipado para el comprobante que se realizo el anticipo</t>
  </si>
  <si>
    <t>3215</t>
  </si>
  <si>
    <t>El comprobante contiene un identificador de pago repetido en los comprobantes que se realizo el anticipo</t>
  </si>
  <si>
    <t>3216</t>
  </si>
  <si>
    <t>Falta identificador del pago del comprobante para relacionarlo con el monto de  anticipo</t>
  </si>
  <si>
    <t>3217</t>
  </si>
  <si>
    <t>Debe consignar Numero de RUC del emisor del comprobante de anticipo</t>
  </si>
  <si>
    <t>3218</t>
  </si>
  <si>
    <t>El comprobante que se realizo el anticipo no existe</t>
  </si>
  <si>
    <t>3219</t>
  </si>
  <si>
    <t>El comprobante que se realizo el anticipo no se encuentra autorizado</t>
  </si>
  <si>
    <t>Si consigna montos de anticipo debe informar el Total de Anticipos</t>
  </si>
  <si>
    <t>3221</t>
  </si>
  <si>
    <t>El dato ingresado como codigo de tributo global es invalido para tipo de nota</t>
  </si>
  <si>
    <t>3222</t>
  </si>
  <si>
    <t>No existe información a nivel global de un tributo informado en la línea</t>
  </si>
  <si>
    <t>3223</t>
  </si>
  <si>
    <t>La combinación de tributos no es permitida</t>
  </si>
  <si>
    <t>3224</t>
  </si>
  <si>
    <t>Si existe 'Valor referencial unitario en operac. no onerosas' con monto mayor a cero, la operacion debe ser gratuita (codigo de tributo 9996)</t>
  </si>
  <si>
    <t>3225</t>
  </si>
  <si>
    <t>La base imponible a nivel de línea difiere de la información consignada en el comprobante</t>
  </si>
  <si>
    <t>3226</t>
  </si>
  <si>
    <t>El resultado del monto del cargo o descuento global es incorrecto en base a la información consignada</t>
  </si>
  <si>
    <t>3227</t>
  </si>
  <si>
    <t>La sumatoria del Total del valor de venta más los impuestos no concuerda con la base imponible</t>
  </si>
  <si>
    <t>3228</t>
  </si>
  <si>
    <t>El Comprobante de Pago no está autorizado en los Sistemas de la SUNAT.</t>
  </si>
  <si>
    <t>3229</t>
  </si>
  <si>
    <t>El monto para el redondeo del Importe Total excede el valor permitido</t>
  </si>
  <si>
    <t>Tipo de nota debe ser 'Ajustes afectos al IVAP'</t>
  </si>
  <si>
    <t>3231</t>
  </si>
  <si>
    <t>Debe consignar solo un elemento a nivel global para Percepciones (cbc:ID igual a 2001)</t>
  </si>
  <si>
    <t>3232</t>
  </si>
  <si>
    <t>Sólo los contribuyentes que hayan emitido los siguientes documentos: Guías, factura, boleta y sus respectivas notas, hasta el 30/09/2018 están autorizados a utilizar esta versión UBL</t>
  </si>
  <si>
    <t>3233</t>
  </si>
  <si>
    <t>Para cargo Percepción, debe ingresar monto base y debe ser mayor a 0.00</t>
  </si>
  <si>
    <t>3234</t>
  </si>
  <si>
    <t>El código de precio '02' es sólo para operaciones gratuitas</t>
  </si>
  <si>
    <t>3235</t>
  </si>
  <si>
    <t>No está autorizado a enviar comprobantes bajo el formato UBL 2.0</t>
  </si>
  <si>
    <t>3236</t>
  </si>
  <si>
    <t>El valor ingresado en el campo cac:TaxSubtotal/cbc:BaseUnitMeasure no corresponde al valor esperado</t>
  </si>
  <si>
    <t>3237</t>
  </si>
  <si>
    <t>Debe consignar el campo cac:TaxSubtotal/cbc:BaseUnitMeasure a nivel de ítem</t>
  </si>
  <si>
    <t>3238</t>
  </si>
  <si>
    <t>El valor ingresado en el campo cac:TaxSubtotal/cbc:PerUnitAmount del ítem no corresponde al valor esperado</t>
  </si>
  <si>
    <t>El impuesto ICBPER no aplica para el NRUS</t>
  </si>
  <si>
    <t>El documento ya fue presentado anteriormente.</t>
  </si>
  <si>
    <t>Para el TaxTypeCode, esta usando un valor que no existe en el catalogo.</t>
  </si>
  <si>
    <t>El comprobante fue registrado previamente como rechazado.</t>
  </si>
  <si>
    <t>El DocumentTypeCode de las guias debe existir y tener 2 posiciones</t>
  </si>
  <si>
    <t>El DocumentTypeCode de las guias debe ser 09 o 31</t>
  </si>
  <si>
    <t>El ID de las guias debe tener informacion de la SERIE-NUMERO de guia.</t>
  </si>
  <si>
    <t>El XML no contiene el ID de las guias.</t>
  </si>
  <si>
    <t>El DocumentTypeCode de Otros documentos relacionados no cumple con el estandar.</t>
  </si>
  <si>
    <t>El DocumentTypeCode de Otros documentos relacionados tiene valores incorrectos.</t>
  </si>
  <si>
    <t>4010</t>
  </si>
  <si>
    <t>El ID de los documentos relacionados no cumplen con el estandar.</t>
  </si>
  <si>
    <t>4011</t>
  </si>
  <si>
    <t>El XML no contiene el tag ID de documentos relacionados.</t>
  </si>
  <si>
    <t>4012</t>
  </si>
  <si>
    <t>El ubigeo indicado en el comprobante no es el mismo que esta registrado para el contribuyente.</t>
  </si>
  <si>
    <t>4013</t>
  </si>
  <si>
    <t>El RUC  del receptor no esta activo</t>
  </si>
  <si>
    <t>4014</t>
  </si>
  <si>
    <t>El RUC del receptor no esta habido</t>
  </si>
  <si>
    <t>4015</t>
  </si>
  <si>
    <t>Si el tipo de documento del receptor no es RUC, debe tener operaciones de exportacion</t>
  </si>
  <si>
    <t>4016</t>
  </si>
  <si>
    <t>El total valor venta neta de oper. gravadas IGV debe ser mayor a 0.00 o debe existir oper. gravadas onerosas</t>
  </si>
  <si>
    <t>4017</t>
  </si>
  <si>
    <t>El total valor venta neta de oper. inafectas IGV debe ser mayor a 0.00 o debe existir oper. inafectas onerosas o de export.</t>
  </si>
  <si>
    <t>4018</t>
  </si>
  <si>
    <t>El total valor venta neta de oper. exoneradas IGV debe ser mayor a 0.00 o debe existir oper. exoneradas</t>
  </si>
  <si>
    <t>4019</t>
  </si>
  <si>
    <t>El calculo del IGV no es correcto</t>
  </si>
  <si>
    <t>4020</t>
  </si>
  <si>
    <t>El ISC no esta informado correctamente</t>
  </si>
  <si>
    <t>4021</t>
  </si>
  <si>
    <t>Si se utiliza la leyenda con codigo 2000, el importe de percepcion debe ser mayor a 0.00</t>
  </si>
  <si>
    <t>4022</t>
  </si>
  <si>
    <t>Si se utiliza la leyenda con código 2001, el total de operaciones exoneradas debe ser mayor a 0.00</t>
  </si>
  <si>
    <t>4023</t>
  </si>
  <si>
    <t>Si se utiliza la leyenda con código 2002, el total de operaciones exoneradas debe ser mayor a 0.00</t>
  </si>
  <si>
    <t>4024</t>
  </si>
  <si>
    <t>Si se utiliza la leyenda con código 2003, el total de operaciones exoneradas debe ser mayor a 0.00</t>
  </si>
  <si>
    <t>4025</t>
  </si>
  <si>
    <t>Si usa la leyenda de Transferencia o Servivicio gratuito, todos los items deben ser  no onerosos</t>
  </si>
  <si>
    <t>4026</t>
  </si>
  <si>
    <t>No se puede indicar Guia de remision de remitente y Guia de remision de transportista en el mismo documento</t>
  </si>
  <si>
    <t>4027</t>
  </si>
  <si>
    <t>El importe total no coincide con la sumatoria de los valores de venta mas los tributos mas los cargos</t>
  </si>
  <si>
    <t>4028</t>
  </si>
  <si>
    <t>El monto total de la nota de credito debe ser menor o igual al monto de la factura</t>
  </si>
  <si>
    <t>4029</t>
  </si>
  <si>
    <t>El ubigeo indicado en el comprobante no es el mismo que esta registrado para el contribuyente</t>
  </si>
  <si>
    <t>Debe indicar el nombre comercial</t>
  </si>
  <si>
    <t>Si el código del motivo de emisión de la Nota de Credito es 03, debe existir la descripción del item</t>
  </si>
  <si>
    <t>La fecha de generación de la numeración debe ser menor o igual a la fecha de generación de la comunicación</t>
  </si>
  <si>
    <t>4034</t>
  </si>
  <si>
    <t>El comprobante fue registrado previamente como baja</t>
  </si>
  <si>
    <t>4035</t>
  </si>
  <si>
    <t>El comprobante fue registrado previamente como rechazado</t>
  </si>
  <si>
    <t>4036</t>
  </si>
  <si>
    <t>La fecha de emisión de los rangos debe ser menor o igual a la fecha de generación del resumen</t>
  </si>
  <si>
    <t>4037</t>
  </si>
  <si>
    <t>El calculo del Total de IGV del Item no es correcto</t>
  </si>
  <si>
    <t>4038</t>
  </si>
  <si>
    <t>El resumen contiene menos series por tipo de documento que el envío anterior para la misma fecha de emisión</t>
  </si>
  <si>
    <t>4039</t>
  </si>
  <si>
    <t>No ha consignado información del ubigeo del domicilio fiscal</t>
  </si>
  <si>
    <t>Si el importe de percepcion es mayor a 0.00, debe utilizar una leyenda con codigo 2000</t>
  </si>
  <si>
    <t>El codigo de pais debe ser PE</t>
  </si>
  <si>
    <t>Para tipo de operación se está usando un valor que no existe en el catálogo. Nro. 17.</t>
  </si>
  <si>
    <t>Para el TransportModeCode, se está usando un valor que no existe en el catálogo Nro. 18.</t>
  </si>
  <si>
    <t>PrepaidAmount: Monto total anticipado no coincide con la sumatoria de los montos por documento de anticipo.</t>
  </si>
  <si>
    <t>No debe consignar los datos del transportista para la modalidad de transporte 02 – Transporte Privado.</t>
  </si>
  <si>
    <t>No debe consignar información adicional en la dirección para los locales anexos.</t>
  </si>
  <si>
    <t>sac:SUNATTransaction/cbc:ID debe ser igual a 10 o igual a 11 cuando ingrese información para sustentar el traslado.</t>
  </si>
  <si>
    <t>cac:AdditionalDocumentReference/cbc:DocumentTypeCode - Contiene un valor no valido para documentos relacionado.</t>
  </si>
  <si>
    <t>El numero de DNI del receptor no existe.</t>
  </si>
  <si>
    <t>4050</t>
  </si>
  <si>
    <t>El numero de RUC del proveedor no existe.</t>
  </si>
  <si>
    <t>4051</t>
  </si>
  <si>
    <t>El RUC del proveedor no esta activo.</t>
  </si>
  <si>
    <t>4052</t>
  </si>
  <si>
    <t>El RUC del proveedor no esta habido.</t>
  </si>
  <si>
    <t>4053</t>
  </si>
  <si>
    <t>Proveedor no debe ser igual al remitente o destinatario.</t>
  </si>
  <si>
    <t>4054</t>
  </si>
  <si>
    <t>La guía no debe contener datos del proveedor.</t>
  </si>
  <si>
    <t>4055</t>
  </si>
  <si>
    <t>El XML no contiene el atributo o no existe información en descripcion del motivo de traslado.</t>
  </si>
  <si>
    <t>4056</t>
  </si>
  <si>
    <t>El XML no contiene el tag o no existe información en el tag SplitConsignmentIndicator.</t>
  </si>
  <si>
    <t>4057</t>
  </si>
  <si>
    <t>4058</t>
  </si>
  <si>
    <t>cbc:TotalPackageQuantity - El dato ingresado no cumple con el formato establecido.</t>
  </si>
  <si>
    <t>4059</t>
  </si>
  <si>
    <t>Numero de bultos o pallets - información válida para importación.</t>
  </si>
  <si>
    <t>La guía no debe contener datos del transportista.</t>
  </si>
  <si>
    <t>El numero de RUC del transportista no existe.</t>
  </si>
  <si>
    <t>El RUC del transportista no esta activo.</t>
  </si>
  <si>
    <t>El RUC del transportista no esta habido.</t>
  </si>
  <si>
    <t>/DespatchAdvice/cac:Shipment/cac:ShipmentStage/cac:TransportMeans/cbc:RegistrationNationalityID - El dato ingresado no cumple con el formato establecido.</t>
  </si>
  <si>
    <t>4065</t>
  </si>
  <si>
    <t>cac:TransportMeans/cbc:TransportMeansTypeCode - El valor ingresado como tipo de unidad de transporte es incorrecta.</t>
  </si>
  <si>
    <t>4066</t>
  </si>
  <si>
    <t>El numero de DNI del conductor no existe.</t>
  </si>
  <si>
    <t>4067</t>
  </si>
  <si>
    <t>El XML no contiene el tag o no existe informacion del ubigeo del punto de llegada.</t>
  </si>
  <si>
    <t>4068</t>
  </si>
  <si>
    <t>Direccion de punto de lllegada - El dato ingresado no cumple con el formato establecido.</t>
  </si>
  <si>
    <t>4069</t>
  </si>
  <si>
    <t>CityName - El dato ingresado no cumple con el formato establecido.</t>
  </si>
  <si>
    <t>4070</t>
  </si>
  <si>
    <t>District - El dato ingresado no cumple con el formato establecido.</t>
  </si>
  <si>
    <t>4071</t>
  </si>
  <si>
    <t>Numero de Contenedor - El dato ingresado no cumple con el formato establecido.</t>
  </si>
  <si>
    <t>4072</t>
  </si>
  <si>
    <t>Numero de contenedor - información válida para importación.</t>
  </si>
  <si>
    <t>4073</t>
  </si>
  <si>
    <t>TransEquipmentTypeCode - El valor ingresado como tipo de contenedor es incorrecta.</t>
  </si>
  <si>
    <t>4074</t>
  </si>
  <si>
    <t>Numero Precinto - El dato ingresado no cumple con el formato establecido.</t>
  </si>
  <si>
    <t>4075</t>
  </si>
  <si>
    <t>El XML no contiene el tag o no existe informacion del ubigeo del punto de partida.</t>
  </si>
  <si>
    <t>4076</t>
  </si>
  <si>
    <t>Direccion de punto de partida - El dato ingresado no cumple con el formato establecido.</t>
  </si>
  <si>
    <t>4077</t>
  </si>
  <si>
    <t>4078</t>
  </si>
  <si>
    <t>4079</t>
  </si>
  <si>
    <t>Código de Puerto o Aeropuerto - El dato ingresado no cumple con el formato establecido.</t>
  </si>
  <si>
    <t>4080</t>
  </si>
  <si>
    <t>Tipo de Puerto o Aeropuerto - El dato ingresado no cumple con el formato establecido.</t>
  </si>
  <si>
    <t>4081</t>
  </si>
  <si>
    <t>El XML No contiene El tag o No existe información del Numero de orden del item.</t>
  </si>
  <si>
    <t>4082</t>
  </si>
  <si>
    <t>Número de Orden del Ítem - El orden del ítem no cumple con el formato establecido.</t>
  </si>
  <si>
    <t>4083</t>
  </si>
  <si>
    <t>Cantidad - El dato ingresado no cumple con el formato establecido.</t>
  </si>
  <si>
    <t>4084</t>
  </si>
  <si>
    <t>Descripción del Ítem - El dato ingresado no cumple con el formato establecido.</t>
  </si>
  <si>
    <t>4085</t>
  </si>
  <si>
    <t>Código del Ítem - El dato ingresado no cumple con el formato establecido.</t>
  </si>
  <si>
    <t>4086</t>
  </si>
  <si>
    <t>El emisor y el cliente son Agentes de percepción de combustible en la fecha de emisión.</t>
  </si>
  <si>
    <t>4087</t>
  </si>
  <si>
    <t>El Comprobante de Pago Electrónico no está Registrado en los Sistemas de la SUNAT.</t>
  </si>
  <si>
    <t>4088</t>
  </si>
  <si>
    <t>4089</t>
  </si>
  <si>
    <t>La operación con este cliente está excluida del sistema de percepción. Es agente de retención.</t>
  </si>
  <si>
    <t>4090</t>
  </si>
  <si>
    <t>La operación con este cliente está excluida del sistema de percepción. Es entidad exceptuada de la percepción.</t>
  </si>
  <si>
    <t>4091</t>
  </si>
  <si>
    <t>La operación con este proveedor está excluida del sistema de retención. Es agente de percepción, agente de retención o buen contribuyente.</t>
  </si>
  <si>
    <t>4092</t>
  </si>
  <si>
    <t>4093</t>
  </si>
  <si>
    <t>El codigo de ubigeo del domicilio fiscal del emisor no es válido</t>
  </si>
  <si>
    <t>4094</t>
  </si>
  <si>
    <t>4095</t>
  </si>
  <si>
    <t>4096</t>
  </si>
  <si>
    <t>4097</t>
  </si>
  <si>
    <t>4098</t>
  </si>
  <si>
    <t>4099</t>
  </si>
  <si>
    <t>El ubigeo del cliente no cumple con el formato establecido o no es válido</t>
  </si>
  <si>
    <t>4101</t>
  </si>
  <si>
    <t>4102</t>
  </si>
  <si>
    <t>4103</t>
  </si>
  <si>
    <t>4104</t>
  </si>
  <si>
    <t>4105</t>
  </si>
  <si>
    <t>4106</t>
  </si>
  <si>
    <t>4107</t>
  </si>
  <si>
    <t>El ubigeo del proveedor no cumple con el formato establecido o no es válido</t>
  </si>
  <si>
    <t>4108</t>
  </si>
  <si>
    <t>4109</t>
  </si>
  <si>
    <t>4110</t>
  </si>
  <si>
    <t>4111</t>
  </si>
  <si>
    <t>4112</t>
  </si>
  <si>
    <t>4120</t>
  </si>
  <si>
    <t>El XML no contiene o no existe informacion en el tag de  Información que sustenta el traslado.</t>
  </si>
  <si>
    <t>4121</t>
  </si>
  <si>
    <t>Para el tipo de operación no se consigna el tag SUNATEmbededDespatchAdvice de Información de sustento de traslado.</t>
  </si>
  <si>
    <t>4122</t>
  </si>
  <si>
    <t>Factura con información que sustenta el traslado, debe registrar leyenda 2008.</t>
  </si>
  <si>
    <t>4123</t>
  </si>
  <si>
    <t>sac:SUNATEmbededDespatchAdvice - Para Factura Electrónica Remitente no se consigna datos en documento de referencia(cac:OrderReference).</t>
  </si>
  <si>
    <t>4124</t>
  </si>
  <si>
    <t>cac:Shipment - Para Factura Electrónica Remitente debe indicar sujeto que realiza el traslado de bienes (1: Vendendor o 2: Comprador).</t>
  </si>
  <si>
    <t>4125</t>
  </si>
  <si>
    <t>cac:Shipment - Para Factura Electrónica Remitente debe indicar modalidad de transporte para el sustento de traslado de bienes (cbc:TransportModeCode).</t>
  </si>
  <si>
    <t>4126</t>
  </si>
  <si>
    <t>cac:Shipment - Debe indicar fecha de inicio de traslado para el  sustento de traslado de bienes (cac:TransitPeriod/cbc:StartDate).</t>
  </si>
  <si>
    <t>4127</t>
  </si>
  <si>
    <t>cac:Shipment - Para Factura Electrónica Remitente debe indicar el punto de llegada para el sustento de traslado de bienes (cac:DeliveryAddrees).</t>
  </si>
  <si>
    <t>4128</t>
  </si>
  <si>
    <t>cac:Shipment - Para Factura Electrónica Remitente debe indicar el punto de partida para el sustento de traslado de bienes (cac:OriginAddress).</t>
  </si>
  <si>
    <t>4129</t>
  </si>
  <si>
    <t>Para Factura Electrónica Remitente no se consigna indicador de subcontratación (cbc:MarkAttentionIndicator)</t>
  </si>
  <si>
    <t>4130</t>
  </si>
  <si>
    <t>sac:SUNATEmbededDespatchAdvice - Para Factura Electrónica Remitente debe consignar datos en documento de referencia (cac:OrderReference).</t>
  </si>
  <si>
    <t>4131</t>
  </si>
  <si>
    <t>sac:SUNATEmbededDespatchAdvice - Para Factura Electrónica Transportista no se consigna destinatario para el sustento de traslado de bienes (cac:DeliveryCustomerParty).</t>
  </si>
  <si>
    <t>4132</t>
  </si>
  <si>
    <t>cac:Shipment - Para Factura Electrónica Transportista no se consigna sujeto que realiza el traslado (cbc:HandlingCode).</t>
  </si>
  <si>
    <t>4133</t>
  </si>
  <si>
    <t>Para Factura Electrónica Transportista no se consigna peso total de la factura para el sustento de traslado de bienes (cbc:GrossWeightMeasure).</t>
  </si>
  <si>
    <t>4134</t>
  </si>
  <si>
    <t>cac:Shipment - Para Factura Electrónica Transportista no se consigna modalidad de transporte para el sustento de traslado de bienes (cbc:TransportModeCode).</t>
  </si>
  <si>
    <t>4135</t>
  </si>
  <si>
    <t>cac:Shipment - Para Factura Electrónica Transportista no se consigna punto de llegada para el sustento de traslado de bienes (cac:DeliveryAddress).</t>
  </si>
  <si>
    <t>4136</t>
  </si>
  <si>
    <t>cac:Shipment - Para Factura Electrónica Transportista no se consigna punto de partida para el sustento de traslado de bienes (cac:OriginAddress).</t>
  </si>
  <si>
    <t>4137</t>
  </si>
  <si>
    <t>cac:OrderReference - Debe consignar número de  documento de referencia que sustenta el traslado (./cbc:ID).</t>
  </si>
  <si>
    <t>4138</t>
  </si>
  <si>
    <t>cac:OrderReference - Debe consignar tipo de documento de referencia que sustenta el traslado (./cbc:OrderTypeCode).</t>
  </si>
  <si>
    <t>4139</t>
  </si>
  <si>
    <t>cac:OrderReference - Tipo de documento de referencia que sustenta el traslado no válido (01 – Factura o 09 – Guía de Remisión).</t>
  </si>
  <si>
    <t>4140</t>
  </si>
  <si>
    <t>cac:OrderReference - Serie-Numero ingresado en documento de referencia que sustenta el traslado no cumple con el formato establecido.</t>
  </si>
  <si>
    <t>4141</t>
  </si>
  <si>
    <t>cac:OrderReference - Debe consignar RUC emisor del documento de referencia que sustenta el traslado (./cac:DocumentReference/cac:IssuerParty/cac:PartyIdentification/cbc:ID).</t>
  </si>
  <si>
    <t>4142</t>
  </si>
  <si>
    <t>cac:OrderReference -  RUC emisor del documento de referencia que sustenta el traslado no cumple con el formato establecido.</t>
  </si>
  <si>
    <t>4143</t>
  </si>
  <si>
    <t>cac:OrderReference – RUC Emisor de documento de referencia que sustenta el traslado no existe o se encuentra dado de baja.</t>
  </si>
  <si>
    <t>4144</t>
  </si>
  <si>
    <t>cac:OrderReference – Documento de Referencia ingresado no corresponde a un comprobante electrónico declarado y activo en SUNAT.</t>
  </si>
  <si>
    <t>4145</t>
  </si>
  <si>
    <t>cac:OrderReference – Documento de Referencia ingresado no corresponde comprobante autorizado por SUNAT.</t>
  </si>
  <si>
    <t>4146</t>
  </si>
  <si>
    <t>cac:OrderReference - Nombre o razon social del emisodr de referencia que sustenta el traslado de bienes no cumple con un formato válido.</t>
  </si>
  <si>
    <t>4147</t>
  </si>
  <si>
    <t>Debe consignar numero de documento de identidad del destinatario</t>
  </si>
  <si>
    <t>4148</t>
  </si>
  <si>
    <t>Debe consignar tipo de documento de identidad del destinatario</t>
  </si>
  <si>
    <t>4149</t>
  </si>
  <si>
    <t>Tipo de documento de identidad del destinatario no válido (Catálogo N° 06)</t>
  </si>
  <si>
    <t>4150</t>
  </si>
  <si>
    <t>Numero de documento de identidad del destinatario no cumple con un formato válido</t>
  </si>
  <si>
    <t>4151</t>
  </si>
  <si>
    <t>Debe consignar apellidos y nombres, denominación o razón social del destinatario</t>
  </si>
  <si>
    <t>4152</t>
  </si>
  <si>
    <t>Nombre o razon social del destinatario no cumple con un formato válido</t>
  </si>
  <si>
    <t>4153</t>
  </si>
  <si>
    <t>cbc:HandlingCode - Sujeto que realiza el traslado no es valido.</t>
  </si>
  <si>
    <t>4154</t>
  </si>
  <si>
    <t>cbc:GrossWeightMeasure@unitCode: El valor ingresado en la unidad de medida para el peso bruto total no es correcta (KGM).</t>
  </si>
  <si>
    <t>4155</t>
  </si>
  <si>
    <t>GrossWeightMeasure – El valor ingresado no cumple con el estandar.</t>
  </si>
  <si>
    <t>4156</t>
  </si>
  <si>
    <t>Debe ingresar la totalidad de la información requerida al transportista.</t>
  </si>
  <si>
    <t>4157</t>
  </si>
  <si>
    <t>No existe información en el tag datos de conductores.</t>
  </si>
  <si>
    <t>4158</t>
  </si>
  <si>
    <t>No existe información en el tag datos de vehículos.</t>
  </si>
  <si>
    <t>4159</t>
  </si>
  <si>
    <t>No es necesario consignar los datos del transportista para una operación de Transporte Privado.</t>
  </si>
  <si>
    <t>4160</t>
  </si>
  <si>
    <t>cac:CarrierParty: Debe consignar número de  documento de identidad del transportista.</t>
  </si>
  <si>
    <t>4161</t>
  </si>
  <si>
    <t>cac:CarrierParty: Debe consignar tipo de documento de identidad del transportista.</t>
  </si>
  <si>
    <t>4162</t>
  </si>
  <si>
    <t>cac:CarrierParty: Tipo de documento de identidad del transportista debe ser 6-RUC</t>
  </si>
  <si>
    <t>4163</t>
  </si>
  <si>
    <t>cac:CarrierParty: Numero de documento de identidad del transportista no cumple con un formato válido.</t>
  </si>
  <si>
    <t>4164</t>
  </si>
  <si>
    <t>cac:CarrierParty: Debe consignar apellidos y nombres, denominación o razón social del transportista.</t>
  </si>
  <si>
    <t>4165</t>
  </si>
  <si>
    <t>cac:CarrierParty: nombre o razon social del transportista no cumple con un formato válido.</t>
  </si>
  <si>
    <t>4166</t>
  </si>
  <si>
    <t>cac: TransportHandlingUnit: Numero de placa (cbc:ID) no coincide con el numero de placa del vehiculo prinicipal.</t>
  </si>
  <si>
    <t>4167</t>
  </si>
  <si>
    <t>cac:RoadTransport/cbc:LicensePlateID: Numero de placa del vehículo no cumple con el formato válido.</t>
  </si>
  <si>
    <t>4168</t>
  </si>
  <si>
    <t>cac: TransportHandlingUnit: Numero de placa del vehículo principal no existe o no cumple con el formato válido (cbc:ID).</t>
  </si>
  <si>
    <t>4169</t>
  </si>
  <si>
    <t>cac:TransportEquipment: debe consignar al menos un vehiculo secundario.</t>
  </si>
  <si>
    <t>4170</t>
  </si>
  <si>
    <t>cac:TransportEquipment: Numero de placa del vehículo secundario no cumple con el formato válido (cbc:ID).</t>
  </si>
  <si>
    <t>4171</t>
  </si>
  <si>
    <t>cac:DriverPerson: Debe consignar número de  documento de identidad del conductor (cbc:ID).</t>
  </si>
  <si>
    <t>4172</t>
  </si>
  <si>
    <t>cac:DriverPerson: Debe consignar tipo de documento de identidad del conductor (cbc:ID/@schemeID).</t>
  </si>
  <si>
    <t>4173</t>
  </si>
  <si>
    <t>cac:DriverPerson: Tipo de documento de identidad del conductor no válido (Catalogo Nro 06).</t>
  </si>
  <si>
    <t>4174</t>
  </si>
  <si>
    <t>cac:DriverPerson: Numero de documento de identidad del conductor no cumple con el formato válido.</t>
  </si>
  <si>
    <t>4175</t>
  </si>
  <si>
    <t>cac:DeliveryAddress: Debe consignar código de ubigeo de punto de llegada (cbc:ID).</t>
  </si>
  <si>
    <t>4176</t>
  </si>
  <si>
    <t>El dato ingresado como código de ubigeo de punto de llegada no corresponde a un valor esperado (catalogo nro 13).</t>
  </si>
  <si>
    <t>4177</t>
  </si>
  <si>
    <t>cac:DeliveryAddress: Debe consignar código de ubigeo válido (Catálogo N° 13).</t>
  </si>
  <si>
    <t>4178</t>
  </si>
  <si>
    <t>cac:DeliveryAddress: Debe consignar Dirección del punto de llegada (cbc:StreetName).</t>
  </si>
  <si>
    <t>4179</t>
  </si>
  <si>
    <t>cac:DeliveryAddress: Dirección completa y detallada del punto de llegada no cumple con el formato válido.</t>
  </si>
  <si>
    <t>4180</t>
  </si>
  <si>
    <t>cac:OriginAddress: Debe consignar código de ubigeo de punto de partida (cbc:ID).</t>
  </si>
  <si>
    <t>4181</t>
  </si>
  <si>
    <t>El dato ingresado como código de ubigeo de punto de partida no corresponde a un valor esperado (catalogo nro 13).</t>
  </si>
  <si>
    <t>4182</t>
  </si>
  <si>
    <t>cac:OriginAddress: Debe consignar código de ubigeo válido (Catálogo N° 13).</t>
  </si>
  <si>
    <t>4183</t>
  </si>
  <si>
    <t>cac:OriginAddress: Debe consignar Dirección detallada del punto de partida (cbc:StreetName).</t>
  </si>
  <si>
    <t>4184</t>
  </si>
  <si>
    <t>cac:OriginAddres: Dirección completa y detallada del punto de partida no cumple con el estandar.</t>
  </si>
  <si>
    <t>4185</t>
  </si>
  <si>
    <t>cac:OrderReference - Serie y numero no se encuentra registrado como baja por cambio de destinatario.</t>
  </si>
  <si>
    <t>4186</t>
  </si>
  <si>
    <t>cbc:Note - El campo observaciones supera la cantidad maxima especificada (250 carácteres).</t>
  </si>
  <si>
    <t>4187</t>
  </si>
  <si>
    <t>cac:OrderReference - El campo Tipo de documento (descripción) supera la cantidad maxima especificada (50 carácteres).</t>
  </si>
  <si>
    <t>4188</t>
  </si>
  <si>
    <t>El XML no contiene el atributo o no existe información del nombre o razon social del tercero relacionado.</t>
  </si>
  <si>
    <t>4189</t>
  </si>
  <si>
    <t>El valor ingresado como tipo de documento del nombre o razon social del tercero relacionado es incorrecto.</t>
  </si>
  <si>
    <t>4190</t>
  </si>
  <si>
    <t>El valor ingresado como descripcion de motivo de traslado no cumple con el estandar.</t>
  </si>
  <si>
    <t>4191</t>
  </si>
  <si>
    <t>Para el motivo de traslado, no se consigna información en el numero de DAM.</t>
  </si>
  <si>
    <t>4192</t>
  </si>
  <si>
    <t>Para el motivo de traslado, no se consigna información del manifiesto de carga.</t>
  </si>
  <si>
    <t>4193</t>
  </si>
  <si>
    <t>El valor ingresado como indicador de transbordo programado no cumple con el estandar.</t>
  </si>
  <si>
    <t>4194</t>
  </si>
  <si>
    <t>El XML no contiene el atributo o no existe información en peso bruto total de la guia.</t>
  </si>
  <si>
    <t>4195</t>
  </si>
  <si>
    <t>Numero de bultos o pallets es una información válida solo para importación.</t>
  </si>
  <si>
    <t>4196</t>
  </si>
  <si>
    <t>La fecha de recepción en SUNAT es mayor a 1 hora(s) respecto a la fecha de comprobación por OSE</t>
  </si>
  <si>
    <t>4197</t>
  </si>
  <si>
    <t>4200</t>
  </si>
  <si>
    <t>4201</t>
  </si>
  <si>
    <t>EL monto del ISC se debe detallar a nivel de línea</t>
  </si>
  <si>
    <t>4202</t>
  </si>
  <si>
    <t>El valor ingresado como numero de DAM no cumple con el estandar</t>
  </si>
  <si>
    <t>4207</t>
  </si>
  <si>
    <t>El DNI debe tener 8 caracteres numéricos</t>
  </si>
  <si>
    <t>4208</t>
  </si>
  <si>
    <t>4230</t>
  </si>
  <si>
    <t>el Comprobante no debió ser observado.</t>
  </si>
  <si>
    <t>4231</t>
  </si>
  <si>
    <t>El código de Ubigeo no existe en el listado.</t>
  </si>
  <si>
    <t>4232</t>
  </si>
  <si>
    <t>La sumatoria de los IGV de línea no corresponden al total</t>
  </si>
  <si>
    <t>4233</t>
  </si>
  <si>
    <t>El dato ingresado en order de compra no cumple con el formato establecido.</t>
  </si>
  <si>
    <t>4234</t>
  </si>
  <si>
    <t>El código de producto no cumple con el formato establecido</t>
  </si>
  <si>
    <t>4235</t>
  </si>
  <si>
    <t>No existe información en el nombre del concepto.</t>
  </si>
  <si>
    <t>4236</t>
  </si>
  <si>
    <t>El dato ingresado como direccion completa y detallada no cumple con el formato establecido.</t>
  </si>
  <si>
    <t>4237</t>
  </si>
  <si>
    <t>La tasa del tributo de la línea no corresponde al valor esperado</t>
  </si>
  <si>
    <t>4238</t>
  </si>
  <si>
    <t>El dato ingresado como urbanización no cumple con el formato establecido</t>
  </si>
  <si>
    <t>4239</t>
  </si>
  <si>
    <t>El dato ingresado como provincia no cumple con el formato establecido</t>
  </si>
  <si>
    <t>4240</t>
  </si>
  <si>
    <t>El dato ingresado como departamento no cumple con el formato establecido</t>
  </si>
  <si>
    <t>4241</t>
  </si>
  <si>
    <t>El dato ingresado como distrito no cumple con el formato establecido</t>
  </si>
  <si>
    <t>4242</t>
  </si>
  <si>
    <t>El dato ingresado como local anexo no cumple con el formato establecido</t>
  </si>
  <si>
    <t>4243</t>
  </si>
  <si>
    <t>Si se utiliza la leyenda con código 2007, el total de operaciones exoneradas debe ser mayor a 0.00</t>
  </si>
  <si>
    <t>4244</t>
  </si>
  <si>
    <t>Si se utiliza la leyenda con código 2008, el total de operaciones exoneradas debe ser mayor a 0.00</t>
  </si>
  <si>
    <t>4245</t>
  </si>
  <si>
    <t>4246</t>
  </si>
  <si>
    <t>El comprobante contiene un identificador de pago repetido en los anticipos</t>
  </si>
  <si>
    <t>4247</t>
  </si>
  <si>
    <t>El comprobante contiene un identificador de pago no relacionado a un documento de anticipo</t>
  </si>
  <si>
    <t>4248</t>
  </si>
  <si>
    <t>El comprobante contiene mas de un documento de anticipo relacionado al mismo identificador de pago.</t>
  </si>
  <si>
    <t>4249</t>
  </si>
  <si>
    <t>El código de motivo de traslado no existe en el listado (catalogo nro. 20)</t>
  </si>
  <si>
    <t>4250</t>
  </si>
  <si>
    <t>El dato ingresado como schemeAgencyName es incorrecto.</t>
  </si>
  <si>
    <t>4251</t>
  </si>
  <si>
    <t>El dato ingresado como atributo @listAgencyName es incorrecto.</t>
  </si>
  <si>
    <t>4252</t>
  </si>
  <si>
    <t>El dato ingresado como atributo @listName es incorrecto.</t>
  </si>
  <si>
    <t>4253</t>
  </si>
  <si>
    <t>El dato ingresado como atributo @listURI es incorrecto.</t>
  </si>
  <si>
    <t>4254</t>
  </si>
  <si>
    <t>El dato ingresado como atributo @listID es incorrecto.</t>
  </si>
  <si>
    <t>4255</t>
  </si>
  <si>
    <t>El dato ingresado como atributo @schemeName es incorrecto.</t>
  </si>
  <si>
    <t>4256</t>
  </si>
  <si>
    <t>El dato ingresado como atributo @schemeAgencyName es incorrecto.</t>
  </si>
  <si>
    <t>4257</t>
  </si>
  <si>
    <t>El dato ingresado como atributo @schemeURI es incorrecto.</t>
  </si>
  <si>
    <t>4258</t>
  </si>
  <si>
    <t>El dato ingresado como atributo @unitCodeListID es incorrecto.</t>
  </si>
  <si>
    <t>4259</t>
  </si>
  <si>
    <t>El dato ingresado como atributo @unitCodeListAgencyName es incorrecto.</t>
  </si>
  <si>
    <t>4260</t>
  </si>
  <si>
    <t>El dato ingresado como atributo @name es incorrecto.</t>
  </si>
  <si>
    <t>4261</t>
  </si>
  <si>
    <t>El dato ingresado como atributo @listSchemeURI es incorrecto.</t>
  </si>
  <si>
    <t>4262</t>
  </si>
  <si>
    <t>El XML no contiene el atributo o no existe lugar donde se entrega el bien para venta itinerante</t>
  </si>
  <si>
    <t>4263</t>
  </si>
  <si>
    <t xml:space="preserve">Si no es una venta itinerante, no corresponde consignar lugar donde se entrega el bien </t>
  </si>
  <si>
    <t>4264</t>
  </si>
  <si>
    <t>El XML no contiene el codigo de leyenda 2007 para el tipo de operación IVAP</t>
  </si>
  <si>
    <t>4265</t>
  </si>
  <si>
    <t>El XML no contiene el codigo de leyenda 2006 para tipo de operación de detracciones</t>
  </si>
  <si>
    <t>4266</t>
  </si>
  <si>
    <t>El XML no contiene el codigo de leyenda 2005 para el tipo de operación Venta itinerante</t>
  </si>
  <si>
    <t>4267</t>
  </si>
  <si>
    <t>El dato ingresado como codigo de producto GS1 no cumple con el formato establecido</t>
  </si>
  <si>
    <t>4268</t>
  </si>
  <si>
    <t>El dato ingresado como cargo/descuento no es valido a nivel de ítem.</t>
  </si>
  <si>
    <t>4269</t>
  </si>
  <si>
    <t>El dato ingresado como codigo de producto no cumple con el formato establecido.</t>
  </si>
  <si>
    <t>4270</t>
  </si>
  <si>
    <t>El dato ingresado como detalle del viaje no cumple con el formato establecido.</t>
  </si>
  <si>
    <t>4271</t>
  </si>
  <si>
    <t>El dato ingresado como descripcion del tramo no cumple con el formato establecido.</t>
  </si>
  <si>
    <t>4272</t>
  </si>
  <si>
    <t>El dato ingresado como valor refrencia del tramo virtual no cumple con el formato establecido.</t>
  </si>
  <si>
    <t>4273</t>
  </si>
  <si>
    <t>El dato ingresado como configuración vehicular no cumple con el formato establecido.</t>
  </si>
  <si>
    <t>4274</t>
  </si>
  <si>
    <t>El dato ingresado como tipo de carga util es incorrecto.</t>
  </si>
  <si>
    <t>4275</t>
  </si>
  <si>
    <t>El XML no contiene el tag o no existe información del valor de la carga en TM.</t>
  </si>
  <si>
    <t>4276</t>
  </si>
  <si>
    <t>El dato ingresado como valor de la carga en TM cumple con el formato establecido.</t>
  </si>
  <si>
    <t>4277</t>
  </si>
  <si>
    <t>El dato ingresado como unidad de medida de la carga  del vehiculo no corresponde al valor esperado.</t>
  </si>
  <si>
    <t>4278</t>
  </si>
  <si>
    <t>El dato ingresado como valor referencial de carga util nominal no cumple con el formato establecido.</t>
  </si>
  <si>
    <t>4279</t>
  </si>
  <si>
    <t>El dato ingresado como codigo de identificación de concepto tributario no es valido (catalogo nro 55)</t>
  </si>
  <si>
    <t>4280</t>
  </si>
  <si>
    <t>El dato ingresado como valor del concepto de la linea no cumple con el formato establecido.</t>
  </si>
  <si>
    <t>4281</t>
  </si>
  <si>
    <t>El dato ingresado como cantidad del concepto de la linea no cumple con el formato establecido.</t>
  </si>
  <si>
    <t>4282</t>
  </si>
  <si>
    <t>La fecha de ingreso al establecimiento es mayor a la fecha de salida al establecimiento.</t>
  </si>
  <si>
    <t>4283</t>
  </si>
  <si>
    <t>El dato ingresado como atributo @schemeID es incorrecto.</t>
  </si>
  <si>
    <t>4284</t>
  </si>
  <si>
    <t>El cargo/descuento consignado no es permitido para el tipo de comprobante</t>
  </si>
  <si>
    <t>4285</t>
  </si>
  <si>
    <t>El emisor a la fecha no se encuentra registrado ó habilitado con la condición de Agente de percepción</t>
  </si>
  <si>
    <t>4286</t>
  </si>
  <si>
    <t>Si ha consignado Transporte Publico, debe consignar Datos del transportista.</t>
  </si>
  <si>
    <t>4287</t>
  </si>
  <si>
    <t>El precio unitario de la operación que está informando difiere de los cálculos realizados en base a la información remitida</t>
  </si>
  <si>
    <t>4288</t>
  </si>
  <si>
    <t>El valor de venta por ítem difiere de los importes consignados.</t>
  </si>
  <si>
    <t>4289</t>
  </si>
  <si>
    <t>El valor de cargo/descuento por ítem difiere de los importes consignados.</t>
  </si>
  <si>
    <t>El cálculo del IGV es Incorrecto</t>
  </si>
  <si>
    <t>4291</t>
  </si>
  <si>
    <t>El dato ingresado como cargo/descuento no es valido a nivel global.</t>
  </si>
  <si>
    <t>4292</t>
  </si>
  <si>
    <t>La Versión del UBL 2.0 se aceptará solo hasta el 30 de junio de 2019</t>
  </si>
  <si>
    <t>4293</t>
  </si>
  <si>
    <t>4294</t>
  </si>
  <si>
    <t>4295</t>
  </si>
  <si>
    <t>4296</t>
  </si>
  <si>
    <t>4297</t>
  </si>
  <si>
    <t>4298</t>
  </si>
  <si>
    <t>4299</t>
  </si>
  <si>
    <t>4300</t>
  </si>
  <si>
    <t>4301</t>
  </si>
  <si>
    <t>4302</t>
  </si>
  <si>
    <t>El importe del IVAP no corresponden al determinado por la informacion consignada.</t>
  </si>
  <si>
    <t>4303</t>
  </si>
  <si>
    <t>4304</t>
  </si>
  <si>
    <t>4305</t>
  </si>
  <si>
    <t>4306</t>
  </si>
  <si>
    <t>4307</t>
  </si>
  <si>
    <t>4308</t>
  </si>
  <si>
    <t>4309</t>
  </si>
  <si>
    <t>4310</t>
  </si>
  <si>
    <t>El importe total del comprobante no coincide con el valor calculado</t>
  </si>
  <si>
    <t>4313</t>
  </si>
  <si>
    <t>El dato ingresado como unidad de medida de los dias de permanencia no corresponde al valor esperado.</t>
  </si>
  <si>
    <t>4314</t>
  </si>
  <si>
    <t>4315</t>
  </si>
  <si>
    <t>4316</t>
  </si>
  <si>
    <t>La moneda del monto para el redondeo debe ser PEN</t>
  </si>
  <si>
    <t>4317</t>
  </si>
  <si>
    <t>Debe consignar el Total Precio de Venta</t>
  </si>
  <si>
    <t>4318</t>
  </si>
  <si>
    <t>El dato ingresado en el campo cac:TaxSubtotal/cbc:TaxAmount del ítem no coincide con el valor calculado</t>
  </si>
  <si>
    <t>4320</t>
  </si>
  <si>
    <t>La sumatoria del total del importe del tributo ICBPER de línea no corresponden al total</t>
  </si>
  <si>
    <t>El valor de cargo/descuento global difiere de los importes consignados</t>
  </si>
  <si>
    <t>4323</t>
  </si>
  <si>
    <t>El dato ingresado como tipo de usuario no corresponde al valor esperado</t>
  </si>
  <si>
    <t>4324</t>
  </si>
  <si>
    <t>El dato ingresado como tipo de tarifa contratada no corresponde al valor esperado</t>
  </si>
  <si>
    <t>4326</t>
  </si>
  <si>
    <t>Para Factura Electrónica Transportista debe indicar el número de constancia de inscripcion del vehiculo o certificado de habilitación vehicular</t>
  </si>
  <si>
    <t>4327</t>
  </si>
  <si>
    <t>Para Factura Electrónica Transportista debe consignar el indicador de subcontratacion</t>
  </si>
  <si>
    <t>4328</t>
  </si>
  <si>
    <t>El valor del indicador de subcontratacion no corresponde al valor esperado</t>
  </si>
  <si>
    <t>Para factura electrónica remitente debe consignar el motivo de traslado</t>
  </si>
  <si>
    <t xml:space="preserve">Para factura electrónica tranportista debe indicar la GRE remitente o FE remitente  </t>
  </si>
  <si>
    <t>4331</t>
  </si>
  <si>
    <t>Debe consignar obligatoriamente Codigo de producto SUNAT o Codigo de producto GTIN</t>
  </si>
  <si>
    <t>4332</t>
  </si>
  <si>
    <t>El Código producto de SUNAT no es válido</t>
  </si>
  <si>
    <t>4333</t>
  </si>
  <si>
    <t>4334</t>
  </si>
  <si>
    <t>4335</t>
  </si>
  <si>
    <t>4337</t>
  </si>
  <si>
    <t>El Codigo de producto SUNAT debe especificarse como minimo al tercer nivel jerarquico (a nivel de clase del codigo UNSPSC)</t>
  </si>
  <si>
    <t>4338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</si>
</sst>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  <family val="2"/>
      <charset val="1"/>
    </font>
    <font>
      <sz val="10"/>
      <color rgb="FF000000"/>
      <name val="Arial"/>
      <family val="2"/>
      <charset val="1"/>
    </font>
    <font>
      <u/>
      <sz val="10"/>
      <color rgb="FF0000FF"/>
      <name val="Calibri"/>
      <family val="2"/>
      <charset val="1"/>
    </font>
    <font>
      <sz val="10"/>
      <color rgb="FF000000"/>
      <name val="Calibri"/>
      <family val="2"/>
      <charset val="1"/>
    </font>
    <font>
      <strike/>
      <sz val="10"/>
      <color rgb="FF000000"/>
      <name val="Calibri"/>
      <family val="2"/>
      <charset val="1"/>
    </font>
    <font>
      <b/>
      <sz val="12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left" vertical="center"/>
    </xf>
    <xf numFmtId="49" fontId="0" fillId="0" borderId="0" xfId="0" applyNumberFormat="1"/>
    <xf numFmtId="0" fontId="3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5"/>
  <sheetViews>
    <sheetView zoomScale="120" zoomScaleNormal="120" workbookViewId="0">
      <selection activeCell="A2" sqref="A2"/>
    </sheetView>
  </sheetViews>
  <sheetFormatPr baseColWidth="10" defaultColWidth="11.85546875" defaultRowHeight="12.75" x14ac:dyDescent="0.2"/>
  <cols>
    <col min="2" max="2" width="7.42578125" customWidth="1"/>
    <col min="3" max="3" width="92.140625" customWidth="1"/>
    <col min="4" max="4" width="139.5703125" customWidth="1"/>
  </cols>
  <sheetData>
    <row r="1" spans="1:4" x14ac:dyDescent="0.2">
      <c r="A1" t="s">
        <v>0</v>
      </c>
      <c r="B1" t="s">
        <v>1</v>
      </c>
      <c r="C1" t="s">
        <v>2</v>
      </c>
      <c r="D1" s="1" t="s">
        <v>3</v>
      </c>
    </row>
    <row r="2" spans="1:4" x14ac:dyDescent="0.2">
      <c r="A2" t="str">
        <f t="shared" ref="A2:A25" si="0">CONCATENATE("catalog01_",B2)</f>
        <v>catalog01_01</v>
      </c>
      <c r="B2" s="2" t="s">
        <v>4</v>
      </c>
      <c r="C2" s="3" t="s">
        <v>5</v>
      </c>
    </row>
    <row r="3" spans="1:4" x14ac:dyDescent="0.2">
      <c r="A3" t="str">
        <f t="shared" si="0"/>
        <v>catalog01_03</v>
      </c>
      <c r="B3" s="2" t="s">
        <v>6</v>
      </c>
      <c r="C3" s="3" t="s">
        <v>7</v>
      </c>
    </row>
    <row r="4" spans="1:4" x14ac:dyDescent="0.2">
      <c r="A4" t="str">
        <f t="shared" si="0"/>
        <v>catalog01_06</v>
      </c>
      <c r="B4" s="2" t="s">
        <v>8</v>
      </c>
      <c r="C4" s="3" t="s">
        <v>9</v>
      </c>
    </row>
    <row r="5" spans="1:4" x14ac:dyDescent="0.2">
      <c r="A5" t="str">
        <f t="shared" si="0"/>
        <v>catalog01_07</v>
      </c>
      <c r="B5" s="2" t="s">
        <v>10</v>
      </c>
      <c r="C5" s="3" t="s">
        <v>11</v>
      </c>
    </row>
    <row r="6" spans="1:4" x14ac:dyDescent="0.2">
      <c r="A6" t="str">
        <f t="shared" si="0"/>
        <v>catalog01_08</v>
      </c>
      <c r="B6" s="2" t="s">
        <v>12</v>
      </c>
      <c r="C6" s="3" t="s">
        <v>13</v>
      </c>
    </row>
    <row r="7" spans="1:4" x14ac:dyDescent="0.2">
      <c r="A7" t="str">
        <f t="shared" si="0"/>
        <v>catalog01_09</v>
      </c>
      <c r="B7" s="2" t="s">
        <v>14</v>
      </c>
      <c r="C7" s="3" t="s">
        <v>15</v>
      </c>
    </row>
    <row r="8" spans="1:4" x14ac:dyDescent="0.2">
      <c r="A8" t="str">
        <f t="shared" si="0"/>
        <v>catalog01_12</v>
      </c>
      <c r="B8" s="2" t="s">
        <v>16</v>
      </c>
      <c r="C8" s="3" t="s">
        <v>17</v>
      </c>
    </row>
    <row r="9" spans="1:4" ht="12.95" customHeight="1" x14ac:dyDescent="0.2">
      <c r="A9" t="str">
        <f t="shared" si="0"/>
        <v>catalog01_13</v>
      </c>
      <c r="B9" s="4" t="s">
        <v>18</v>
      </c>
      <c r="C9" s="3" t="s">
        <v>19</v>
      </c>
      <c r="D9" s="3" t="s">
        <v>20</v>
      </c>
    </row>
    <row r="10" spans="1:4" x14ac:dyDescent="0.2">
      <c r="A10" t="str">
        <f t="shared" si="0"/>
        <v>catalog01_14</v>
      </c>
      <c r="B10" s="2">
        <v>14</v>
      </c>
      <c r="C10" s="3" t="s">
        <v>21</v>
      </c>
    </row>
    <row r="11" spans="1:4" ht="12.2" customHeight="1" x14ac:dyDescent="0.2">
      <c r="A11" t="str">
        <f t="shared" si="0"/>
        <v>catalog01_15</v>
      </c>
      <c r="B11" s="4">
        <v>15</v>
      </c>
      <c r="C11" s="3" t="s">
        <v>22</v>
      </c>
      <c r="D11" s="3" t="s">
        <v>23</v>
      </c>
    </row>
    <row r="12" spans="1:4" x14ac:dyDescent="0.2">
      <c r="A12" t="str">
        <f t="shared" si="0"/>
        <v>catalog01_16</v>
      </c>
      <c r="B12" s="2">
        <v>16</v>
      </c>
      <c r="C12" s="3" t="s">
        <v>24</v>
      </c>
    </row>
    <row r="13" spans="1:4" x14ac:dyDescent="0.2">
      <c r="A13" t="str">
        <f t="shared" si="0"/>
        <v>catalog01_18</v>
      </c>
      <c r="B13" s="2" t="s">
        <v>25</v>
      </c>
      <c r="C13" s="3" t="s">
        <v>26</v>
      </c>
    </row>
    <row r="14" spans="1:4" x14ac:dyDescent="0.2">
      <c r="A14" t="str">
        <f t="shared" si="0"/>
        <v>catalog01_20</v>
      </c>
      <c r="B14" s="2" t="s">
        <v>27</v>
      </c>
      <c r="C14" s="3" t="s">
        <v>28</v>
      </c>
    </row>
    <row r="15" spans="1:4" x14ac:dyDescent="0.2">
      <c r="A15" t="str">
        <f t="shared" si="0"/>
        <v>catalog01_21</v>
      </c>
      <c r="B15" s="2">
        <v>21</v>
      </c>
      <c r="C15" s="3" t="s">
        <v>29</v>
      </c>
    </row>
    <row r="16" spans="1:4" x14ac:dyDescent="0.2">
      <c r="A16" t="str">
        <f t="shared" si="0"/>
        <v>catalog01_24</v>
      </c>
      <c r="B16" s="2">
        <v>24</v>
      </c>
      <c r="C16" s="3" t="s">
        <v>30</v>
      </c>
    </row>
    <row r="17" spans="1:3" x14ac:dyDescent="0.2">
      <c r="A17" t="str">
        <f t="shared" si="0"/>
        <v>catalog01_31</v>
      </c>
      <c r="B17" s="2" t="s">
        <v>31</v>
      </c>
      <c r="C17" s="3" t="s">
        <v>32</v>
      </c>
    </row>
    <row r="18" spans="1:3" x14ac:dyDescent="0.2">
      <c r="A18" t="str">
        <f t="shared" si="0"/>
        <v>catalog01_37</v>
      </c>
      <c r="B18" s="2">
        <v>37</v>
      </c>
      <c r="C18" s="3" t="s">
        <v>33</v>
      </c>
    </row>
    <row r="19" spans="1:3" x14ac:dyDescent="0.2">
      <c r="A19" t="str">
        <f t="shared" si="0"/>
        <v>catalog01_40</v>
      </c>
      <c r="B19" s="2" t="s">
        <v>34</v>
      </c>
      <c r="C19" s="3" t="s">
        <v>35</v>
      </c>
    </row>
    <row r="20" spans="1:3" x14ac:dyDescent="0.2">
      <c r="A20" t="str">
        <f t="shared" si="0"/>
        <v>catalog01_41</v>
      </c>
      <c r="B20" s="2" t="s">
        <v>36</v>
      </c>
      <c r="C20" s="3" t="s">
        <v>37</v>
      </c>
    </row>
    <row r="21" spans="1:3" x14ac:dyDescent="0.2">
      <c r="A21" t="str">
        <f t="shared" si="0"/>
        <v>catalog01_43</v>
      </c>
      <c r="B21" s="2">
        <v>43</v>
      </c>
      <c r="C21" s="3" t="s">
        <v>38</v>
      </c>
    </row>
    <row r="22" spans="1:3" ht="11.45" customHeight="1" x14ac:dyDescent="0.2">
      <c r="A22" t="str">
        <f t="shared" si="0"/>
        <v>catalog01_45</v>
      </c>
      <c r="B22" s="4">
        <v>45</v>
      </c>
      <c r="C22" s="3" t="s">
        <v>39</v>
      </c>
    </row>
    <row r="23" spans="1:3" x14ac:dyDescent="0.2">
      <c r="A23" t="str">
        <f t="shared" si="0"/>
        <v>catalog01_56</v>
      </c>
      <c r="B23" s="2" t="s">
        <v>40</v>
      </c>
      <c r="C23" s="3" t="s">
        <v>41</v>
      </c>
    </row>
    <row r="24" spans="1:3" x14ac:dyDescent="0.2">
      <c r="A24" t="str">
        <f t="shared" si="0"/>
        <v>catalog01_71</v>
      </c>
      <c r="B24" s="2" t="s">
        <v>42</v>
      </c>
      <c r="C24" s="3" t="s">
        <v>43</v>
      </c>
    </row>
    <row r="25" spans="1:3" x14ac:dyDescent="0.2">
      <c r="A25" t="str">
        <f t="shared" si="0"/>
        <v>catalog01_72</v>
      </c>
      <c r="B25" s="2" t="s">
        <v>44</v>
      </c>
      <c r="C25" s="3" t="s">
        <v>45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Roman,Normal"&amp;12&amp;A</oddHeader>
    <oddFooter>&amp;C&amp;"Times New Roman,Normal"&amp;12Página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77"/>
  <sheetViews>
    <sheetView zoomScale="120" zoomScaleNormal="120" workbookViewId="0">
      <selection activeCell="A2" sqref="A2"/>
    </sheetView>
  </sheetViews>
  <sheetFormatPr baseColWidth="10" defaultColWidth="11.85546875" defaultRowHeight="12.75" x14ac:dyDescent="0.2"/>
  <cols>
    <col min="1" max="1" width="14.85546875" customWidth="1"/>
    <col min="2" max="2" width="8.7109375" customWidth="1"/>
    <col min="3" max="3" width="23.42578125" customWidth="1"/>
  </cols>
  <sheetData>
    <row r="1" spans="1:6" x14ac:dyDescent="0.2">
      <c r="A1" t="s">
        <v>0</v>
      </c>
      <c r="B1" t="s">
        <v>1</v>
      </c>
      <c r="C1" t="s">
        <v>2</v>
      </c>
      <c r="D1" s="1" t="s">
        <v>3</v>
      </c>
      <c r="E1" t="s">
        <v>46</v>
      </c>
      <c r="F1" t="s">
        <v>47</v>
      </c>
    </row>
    <row r="2" spans="1:6" x14ac:dyDescent="0.2">
      <c r="A2" t="str">
        <f t="shared" ref="A2:A65" si="0">CONCATENATE("catalog02_",B2)</f>
        <v>catalog02_AFN</v>
      </c>
      <c r="B2" t="s">
        <v>48</v>
      </c>
      <c r="C2" t="s">
        <v>49</v>
      </c>
      <c r="E2" t="s">
        <v>50</v>
      </c>
      <c r="F2" t="s">
        <v>51</v>
      </c>
    </row>
    <row r="3" spans="1:6" x14ac:dyDescent="0.2">
      <c r="A3" t="str">
        <f t="shared" si="0"/>
        <v>catalog02_EUR</v>
      </c>
      <c r="B3" t="s">
        <v>52</v>
      </c>
      <c r="C3" t="s">
        <v>53</v>
      </c>
      <c r="E3" t="s">
        <v>54</v>
      </c>
      <c r="F3" t="s">
        <v>55</v>
      </c>
    </row>
    <row r="4" spans="1:6" x14ac:dyDescent="0.2">
      <c r="A4" t="str">
        <f t="shared" si="0"/>
        <v>catalog02_ALL</v>
      </c>
      <c r="B4" t="s">
        <v>56</v>
      </c>
      <c r="C4" t="s">
        <v>57</v>
      </c>
      <c r="E4" t="s">
        <v>58</v>
      </c>
      <c r="F4" t="s">
        <v>59</v>
      </c>
    </row>
    <row r="5" spans="1:6" x14ac:dyDescent="0.2">
      <c r="A5" t="str">
        <f t="shared" si="0"/>
        <v>catalog02_DZD</v>
      </c>
      <c r="B5" t="s">
        <v>60</v>
      </c>
      <c r="C5" t="s">
        <v>61</v>
      </c>
      <c r="E5" t="s">
        <v>62</v>
      </c>
      <c r="F5" t="s">
        <v>63</v>
      </c>
    </row>
    <row r="6" spans="1:6" x14ac:dyDescent="0.2">
      <c r="A6" t="str">
        <f t="shared" si="0"/>
        <v>catalog02_USD</v>
      </c>
      <c r="B6" t="s">
        <v>64</v>
      </c>
      <c r="C6" t="s">
        <v>65</v>
      </c>
      <c r="E6" t="s">
        <v>66</v>
      </c>
      <c r="F6" t="s">
        <v>67</v>
      </c>
    </row>
    <row r="7" spans="1:6" x14ac:dyDescent="0.2">
      <c r="A7" t="str">
        <f t="shared" si="0"/>
        <v>catalog02_EUR</v>
      </c>
      <c r="B7" t="s">
        <v>52</v>
      </c>
      <c r="C7" t="s">
        <v>53</v>
      </c>
      <c r="E7" t="s">
        <v>68</v>
      </c>
      <c r="F7" t="s">
        <v>55</v>
      </c>
    </row>
    <row r="8" spans="1:6" x14ac:dyDescent="0.2">
      <c r="A8" t="str">
        <f t="shared" si="0"/>
        <v>catalog02_AOA</v>
      </c>
      <c r="B8" t="s">
        <v>69</v>
      </c>
      <c r="C8" t="s">
        <v>70</v>
      </c>
      <c r="E8" t="s">
        <v>71</v>
      </c>
      <c r="F8" t="s">
        <v>72</v>
      </c>
    </row>
    <row r="9" spans="1:6" x14ac:dyDescent="0.2">
      <c r="A9" t="str">
        <f t="shared" si="0"/>
        <v>catalog02_XCD</v>
      </c>
      <c r="B9" t="s">
        <v>73</v>
      </c>
      <c r="C9" t="s">
        <v>74</v>
      </c>
      <c r="E9" t="s">
        <v>75</v>
      </c>
      <c r="F9" t="s">
        <v>76</v>
      </c>
    </row>
    <row r="10" spans="1:6" x14ac:dyDescent="0.2">
      <c r="A10" t="str">
        <f t="shared" si="0"/>
        <v>catalog02_XCD</v>
      </c>
      <c r="B10" t="s">
        <v>73</v>
      </c>
      <c r="C10" t="s">
        <v>74</v>
      </c>
      <c r="E10" t="s">
        <v>77</v>
      </c>
      <c r="F10" t="s">
        <v>76</v>
      </c>
    </row>
    <row r="11" spans="1:6" x14ac:dyDescent="0.2">
      <c r="A11" t="str">
        <f t="shared" si="0"/>
        <v>catalog02_ARS</v>
      </c>
      <c r="B11" t="s">
        <v>78</v>
      </c>
      <c r="C11" t="s">
        <v>79</v>
      </c>
      <c r="E11" t="s">
        <v>80</v>
      </c>
      <c r="F11" t="s">
        <v>81</v>
      </c>
    </row>
    <row r="12" spans="1:6" x14ac:dyDescent="0.2">
      <c r="A12" t="str">
        <f t="shared" si="0"/>
        <v>catalog02_AMD</v>
      </c>
      <c r="B12" t="s">
        <v>82</v>
      </c>
      <c r="C12" t="s">
        <v>83</v>
      </c>
      <c r="E12" t="s">
        <v>84</v>
      </c>
      <c r="F12" t="s">
        <v>85</v>
      </c>
    </row>
    <row r="13" spans="1:6" x14ac:dyDescent="0.2">
      <c r="A13" t="str">
        <f t="shared" si="0"/>
        <v>catalog02_AWG</v>
      </c>
      <c r="B13" t="s">
        <v>86</v>
      </c>
      <c r="C13" t="s">
        <v>87</v>
      </c>
      <c r="E13" t="s">
        <v>88</v>
      </c>
      <c r="F13" t="s">
        <v>89</v>
      </c>
    </row>
    <row r="14" spans="1:6" x14ac:dyDescent="0.2">
      <c r="A14" t="str">
        <f t="shared" si="0"/>
        <v>catalog02_AUD</v>
      </c>
      <c r="B14" t="s">
        <v>90</v>
      </c>
      <c r="C14" t="s">
        <v>91</v>
      </c>
      <c r="E14" t="s">
        <v>92</v>
      </c>
      <c r="F14" t="s">
        <v>93</v>
      </c>
    </row>
    <row r="15" spans="1:6" x14ac:dyDescent="0.2">
      <c r="A15" t="str">
        <f t="shared" si="0"/>
        <v>catalog02_EUR</v>
      </c>
      <c r="B15" t="s">
        <v>52</v>
      </c>
      <c r="C15" t="s">
        <v>53</v>
      </c>
      <c r="E15" t="s">
        <v>94</v>
      </c>
      <c r="F15" t="s">
        <v>55</v>
      </c>
    </row>
    <row r="16" spans="1:6" x14ac:dyDescent="0.2">
      <c r="A16" t="str">
        <f t="shared" si="0"/>
        <v>catalog02_AZN</v>
      </c>
      <c r="B16" t="s">
        <v>95</v>
      </c>
      <c r="C16" t="s">
        <v>96</v>
      </c>
      <c r="E16" t="s">
        <v>97</v>
      </c>
      <c r="F16" t="s">
        <v>98</v>
      </c>
    </row>
    <row r="17" spans="1:6" x14ac:dyDescent="0.2">
      <c r="A17" t="str">
        <f t="shared" si="0"/>
        <v>catalog02_BSD</v>
      </c>
      <c r="B17" t="s">
        <v>99</v>
      </c>
      <c r="C17" t="s">
        <v>100</v>
      </c>
      <c r="E17" t="s">
        <v>101</v>
      </c>
      <c r="F17" t="s">
        <v>102</v>
      </c>
    </row>
    <row r="18" spans="1:6" x14ac:dyDescent="0.2">
      <c r="A18" t="str">
        <f t="shared" si="0"/>
        <v>catalog02_BHD</v>
      </c>
      <c r="B18" t="s">
        <v>103</v>
      </c>
      <c r="C18" t="s">
        <v>104</v>
      </c>
      <c r="E18" t="s">
        <v>105</v>
      </c>
      <c r="F18" t="s">
        <v>106</v>
      </c>
    </row>
    <row r="19" spans="1:6" x14ac:dyDescent="0.2">
      <c r="A19" t="str">
        <f t="shared" si="0"/>
        <v>catalog02_BDT</v>
      </c>
      <c r="B19" t="s">
        <v>107</v>
      </c>
      <c r="C19" t="s">
        <v>108</v>
      </c>
      <c r="E19" t="s">
        <v>109</v>
      </c>
      <c r="F19" t="s">
        <v>110</v>
      </c>
    </row>
    <row r="20" spans="1:6" x14ac:dyDescent="0.2">
      <c r="A20" t="str">
        <f t="shared" si="0"/>
        <v>catalog02_BBD</v>
      </c>
      <c r="B20" t="s">
        <v>111</v>
      </c>
      <c r="C20" t="s">
        <v>112</v>
      </c>
      <c r="E20" t="s">
        <v>113</v>
      </c>
      <c r="F20" t="s">
        <v>114</v>
      </c>
    </row>
    <row r="21" spans="1:6" x14ac:dyDescent="0.2">
      <c r="A21" t="str">
        <f t="shared" si="0"/>
        <v>catalog02_BYN</v>
      </c>
      <c r="B21" t="s">
        <v>115</v>
      </c>
      <c r="C21" t="s">
        <v>116</v>
      </c>
      <c r="E21" t="s">
        <v>117</v>
      </c>
      <c r="F21" t="s">
        <v>118</v>
      </c>
    </row>
    <row r="22" spans="1:6" x14ac:dyDescent="0.2">
      <c r="A22" t="str">
        <f t="shared" si="0"/>
        <v>catalog02_EUR</v>
      </c>
      <c r="B22" t="s">
        <v>52</v>
      </c>
      <c r="C22" t="s">
        <v>53</v>
      </c>
      <c r="E22" t="s">
        <v>119</v>
      </c>
      <c r="F22" t="s">
        <v>55</v>
      </c>
    </row>
    <row r="23" spans="1:6" x14ac:dyDescent="0.2">
      <c r="A23" t="str">
        <f t="shared" si="0"/>
        <v>catalog02_BZD</v>
      </c>
      <c r="B23" t="s">
        <v>120</v>
      </c>
      <c r="C23" t="s">
        <v>121</v>
      </c>
      <c r="E23" t="s">
        <v>122</v>
      </c>
      <c r="F23" t="s">
        <v>123</v>
      </c>
    </row>
    <row r="24" spans="1:6" x14ac:dyDescent="0.2">
      <c r="A24" t="str">
        <f t="shared" si="0"/>
        <v>catalog02_XOF</v>
      </c>
      <c r="B24" t="s">
        <v>124</v>
      </c>
      <c r="C24" t="s">
        <v>125</v>
      </c>
      <c r="E24" t="s">
        <v>126</v>
      </c>
      <c r="F24" t="s">
        <v>127</v>
      </c>
    </row>
    <row r="25" spans="1:6" x14ac:dyDescent="0.2">
      <c r="A25" t="str">
        <f t="shared" si="0"/>
        <v>catalog02_BMD</v>
      </c>
      <c r="B25" t="s">
        <v>128</v>
      </c>
      <c r="C25" t="s">
        <v>129</v>
      </c>
      <c r="E25" t="s">
        <v>130</v>
      </c>
      <c r="F25" t="s">
        <v>131</v>
      </c>
    </row>
    <row r="26" spans="1:6" x14ac:dyDescent="0.2">
      <c r="A26" t="str">
        <f t="shared" si="0"/>
        <v>catalog02_INR</v>
      </c>
      <c r="B26" t="s">
        <v>132</v>
      </c>
      <c r="C26" t="s">
        <v>133</v>
      </c>
      <c r="E26" t="s">
        <v>134</v>
      </c>
      <c r="F26" t="s">
        <v>135</v>
      </c>
    </row>
    <row r="27" spans="1:6" x14ac:dyDescent="0.2">
      <c r="A27" t="str">
        <f t="shared" si="0"/>
        <v>catalog02_BTN</v>
      </c>
      <c r="B27" t="s">
        <v>136</v>
      </c>
      <c r="C27" t="s">
        <v>137</v>
      </c>
      <c r="E27" t="s">
        <v>134</v>
      </c>
      <c r="F27" t="s">
        <v>138</v>
      </c>
    </row>
    <row r="28" spans="1:6" x14ac:dyDescent="0.2">
      <c r="A28" t="str">
        <f t="shared" si="0"/>
        <v>catalog02_BOB</v>
      </c>
      <c r="B28" t="s">
        <v>139</v>
      </c>
      <c r="C28" t="s">
        <v>140</v>
      </c>
      <c r="E28" t="s">
        <v>141</v>
      </c>
      <c r="F28" t="s">
        <v>142</v>
      </c>
    </row>
    <row r="29" spans="1:6" x14ac:dyDescent="0.2">
      <c r="A29" t="str">
        <f t="shared" si="0"/>
        <v>catalog02_BOV</v>
      </c>
      <c r="B29" t="s">
        <v>143</v>
      </c>
      <c r="C29" t="s">
        <v>144</v>
      </c>
      <c r="E29" t="s">
        <v>141</v>
      </c>
      <c r="F29" t="s">
        <v>145</v>
      </c>
    </row>
    <row r="30" spans="1:6" x14ac:dyDescent="0.2">
      <c r="A30" t="str">
        <f t="shared" si="0"/>
        <v>catalog02_USD</v>
      </c>
      <c r="B30" t="s">
        <v>64</v>
      </c>
      <c r="C30" t="s">
        <v>65</v>
      </c>
      <c r="E30" t="s">
        <v>146</v>
      </c>
      <c r="F30" t="s">
        <v>67</v>
      </c>
    </row>
    <row r="31" spans="1:6" x14ac:dyDescent="0.2">
      <c r="A31" t="str">
        <f t="shared" si="0"/>
        <v>catalog02_BAM</v>
      </c>
      <c r="B31" t="s">
        <v>147</v>
      </c>
      <c r="C31" t="s">
        <v>148</v>
      </c>
      <c r="E31" t="s">
        <v>149</v>
      </c>
      <c r="F31" t="s">
        <v>150</v>
      </c>
    </row>
    <row r="32" spans="1:6" x14ac:dyDescent="0.2">
      <c r="A32" t="str">
        <f t="shared" si="0"/>
        <v>catalog02_BWP</v>
      </c>
      <c r="B32" t="s">
        <v>151</v>
      </c>
      <c r="C32" t="s">
        <v>152</v>
      </c>
      <c r="E32" t="s">
        <v>153</v>
      </c>
      <c r="F32" t="s">
        <v>154</v>
      </c>
    </row>
    <row r="33" spans="1:6" x14ac:dyDescent="0.2">
      <c r="A33" t="str">
        <f t="shared" si="0"/>
        <v>catalog02_NOK</v>
      </c>
      <c r="B33" t="s">
        <v>155</v>
      </c>
      <c r="C33" t="s">
        <v>156</v>
      </c>
      <c r="E33" t="s">
        <v>157</v>
      </c>
      <c r="F33" t="s">
        <v>158</v>
      </c>
    </row>
    <row r="34" spans="1:6" x14ac:dyDescent="0.2">
      <c r="A34" t="str">
        <f t="shared" si="0"/>
        <v>catalog02_BRL</v>
      </c>
      <c r="B34" t="s">
        <v>159</v>
      </c>
      <c r="C34" t="s">
        <v>160</v>
      </c>
      <c r="E34" t="s">
        <v>161</v>
      </c>
      <c r="F34" t="s">
        <v>162</v>
      </c>
    </row>
    <row r="35" spans="1:6" x14ac:dyDescent="0.2">
      <c r="A35" t="str">
        <f t="shared" si="0"/>
        <v>catalog02_USD</v>
      </c>
      <c r="B35" t="s">
        <v>64</v>
      </c>
      <c r="C35" t="s">
        <v>65</v>
      </c>
      <c r="E35" t="s">
        <v>163</v>
      </c>
      <c r="F35" t="s">
        <v>67</v>
      </c>
    </row>
    <row r="36" spans="1:6" x14ac:dyDescent="0.2">
      <c r="A36" t="str">
        <f t="shared" si="0"/>
        <v>catalog02_BND</v>
      </c>
      <c r="B36" t="s">
        <v>164</v>
      </c>
      <c r="C36" t="s">
        <v>165</v>
      </c>
      <c r="E36" t="s">
        <v>166</v>
      </c>
      <c r="F36" t="s">
        <v>167</v>
      </c>
    </row>
    <row r="37" spans="1:6" x14ac:dyDescent="0.2">
      <c r="A37" t="str">
        <f t="shared" si="0"/>
        <v>catalog02_BGN</v>
      </c>
      <c r="B37" t="s">
        <v>168</v>
      </c>
      <c r="C37" t="s">
        <v>169</v>
      </c>
      <c r="E37" t="s">
        <v>170</v>
      </c>
      <c r="F37" t="s">
        <v>171</v>
      </c>
    </row>
    <row r="38" spans="1:6" x14ac:dyDescent="0.2">
      <c r="A38" t="str">
        <f t="shared" si="0"/>
        <v>catalog02_XOF</v>
      </c>
      <c r="B38" t="s">
        <v>124</v>
      </c>
      <c r="C38" t="s">
        <v>125</v>
      </c>
      <c r="E38" t="s">
        <v>172</v>
      </c>
      <c r="F38" t="s">
        <v>127</v>
      </c>
    </row>
    <row r="39" spans="1:6" x14ac:dyDescent="0.2">
      <c r="A39" t="str">
        <f t="shared" si="0"/>
        <v>catalog02_BIF</v>
      </c>
      <c r="B39" t="s">
        <v>173</v>
      </c>
      <c r="C39" t="s">
        <v>174</v>
      </c>
      <c r="E39" t="s">
        <v>175</v>
      </c>
      <c r="F39" t="s">
        <v>176</v>
      </c>
    </row>
    <row r="40" spans="1:6" x14ac:dyDescent="0.2">
      <c r="A40" t="str">
        <f t="shared" si="0"/>
        <v>catalog02_CVE</v>
      </c>
      <c r="B40" t="s">
        <v>177</v>
      </c>
      <c r="C40" t="s">
        <v>178</v>
      </c>
      <c r="E40" t="s">
        <v>179</v>
      </c>
      <c r="F40" t="s">
        <v>180</v>
      </c>
    </row>
    <row r="41" spans="1:6" x14ac:dyDescent="0.2">
      <c r="A41" t="str">
        <f t="shared" si="0"/>
        <v>catalog02_KHR</v>
      </c>
      <c r="B41" t="s">
        <v>181</v>
      </c>
      <c r="C41" t="s">
        <v>182</v>
      </c>
      <c r="E41" t="s">
        <v>183</v>
      </c>
      <c r="F41" t="s">
        <v>184</v>
      </c>
    </row>
    <row r="42" spans="1:6" x14ac:dyDescent="0.2">
      <c r="A42" t="str">
        <f t="shared" si="0"/>
        <v>catalog02_XAF</v>
      </c>
      <c r="B42" t="s">
        <v>185</v>
      </c>
      <c r="C42" t="s">
        <v>186</v>
      </c>
      <c r="E42" t="s">
        <v>187</v>
      </c>
      <c r="F42" t="s">
        <v>188</v>
      </c>
    </row>
    <row r="43" spans="1:6" x14ac:dyDescent="0.2">
      <c r="A43" t="str">
        <f t="shared" si="0"/>
        <v>catalog02_CAD</v>
      </c>
      <c r="B43" t="s">
        <v>189</v>
      </c>
      <c r="C43" t="s">
        <v>190</v>
      </c>
      <c r="E43" t="s">
        <v>191</v>
      </c>
      <c r="F43" t="s">
        <v>192</v>
      </c>
    </row>
    <row r="44" spans="1:6" x14ac:dyDescent="0.2">
      <c r="A44" t="str">
        <f t="shared" si="0"/>
        <v>catalog02_KYD</v>
      </c>
      <c r="B44" t="s">
        <v>193</v>
      </c>
      <c r="C44" t="s">
        <v>194</v>
      </c>
      <c r="E44" t="s">
        <v>195</v>
      </c>
      <c r="F44" t="s">
        <v>196</v>
      </c>
    </row>
    <row r="45" spans="1:6" x14ac:dyDescent="0.2">
      <c r="A45" t="str">
        <f t="shared" si="0"/>
        <v>catalog02_XAF</v>
      </c>
      <c r="B45" t="s">
        <v>185</v>
      </c>
      <c r="C45" t="s">
        <v>186</v>
      </c>
      <c r="E45" t="s">
        <v>197</v>
      </c>
      <c r="F45" t="s">
        <v>188</v>
      </c>
    </row>
    <row r="46" spans="1:6" x14ac:dyDescent="0.2">
      <c r="A46" t="str">
        <f t="shared" si="0"/>
        <v>catalog02_XAF</v>
      </c>
      <c r="B46" t="s">
        <v>185</v>
      </c>
      <c r="C46" t="s">
        <v>186</v>
      </c>
      <c r="E46" t="s">
        <v>198</v>
      </c>
      <c r="F46" t="s">
        <v>188</v>
      </c>
    </row>
    <row r="47" spans="1:6" x14ac:dyDescent="0.2">
      <c r="A47" t="str">
        <f t="shared" si="0"/>
        <v>catalog02_CLP</v>
      </c>
      <c r="B47" t="s">
        <v>199</v>
      </c>
      <c r="C47" t="s">
        <v>200</v>
      </c>
      <c r="E47" t="s">
        <v>201</v>
      </c>
      <c r="F47" t="s">
        <v>202</v>
      </c>
    </row>
    <row r="48" spans="1:6" x14ac:dyDescent="0.2">
      <c r="A48" t="str">
        <f t="shared" si="0"/>
        <v>catalog02_CLF</v>
      </c>
      <c r="B48" t="s">
        <v>203</v>
      </c>
      <c r="C48" t="s">
        <v>204</v>
      </c>
      <c r="E48" t="s">
        <v>201</v>
      </c>
      <c r="F48" t="s">
        <v>205</v>
      </c>
    </row>
    <row r="49" spans="1:6" x14ac:dyDescent="0.2">
      <c r="A49" t="str">
        <f t="shared" si="0"/>
        <v>catalog02_CNY</v>
      </c>
      <c r="B49" t="s">
        <v>206</v>
      </c>
      <c r="C49" t="s">
        <v>207</v>
      </c>
      <c r="E49" t="s">
        <v>208</v>
      </c>
      <c r="F49" t="s">
        <v>209</v>
      </c>
    </row>
    <row r="50" spans="1:6" x14ac:dyDescent="0.2">
      <c r="A50" t="str">
        <f t="shared" si="0"/>
        <v>catalog02_AUD</v>
      </c>
      <c r="B50" t="s">
        <v>90</v>
      </c>
      <c r="C50" t="s">
        <v>91</v>
      </c>
      <c r="E50" t="s">
        <v>210</v>
      </c>
      <c r="F50" t="s">
        <v>93</v>
      </c>
    </row>
    <row r="51" spans="1:6" x14ac:dyDescent="0.2">
      <c r="A51" t="str">
        <f t="shared" si="0"/>
        <v>catalog02_AUD</v>
      </c>
      <c r="B51" t="s">
        <v>90</v>
      </c>
      <c r="C51" t="s">
        <v>91</v>
      </c>
      <c r="E51" t="s">
        <v>211</v>
      </c>
      <c r="F51" t="s">
        <v>93</v>
      </c>
    </row>
    <row r="52" spans="1:6" x14ac:dyDescent="0.2">
      <c r="A52" t="str">
        <f t="shared" si="0"/>
        <v>catalog02_COP</v>
      </c>
      <c r="B52" t="s">
        <v>212</v>
      </c>
      <c r="C52" t="s">
        <v>213</v>
      </c>
      <c r="E52" t="s">
        <v>214</v>
      </c>
      <c r="F52" t="s">
        <v>215</v>
      </c>
    </row>
    <row r="53" spans="1:6" x14ac:dyDescent="0.2">
      <c r="A53" t="str">
        <f t="shared" si="0"/>
        <v>catalog02_COU</v>
      </c>
      <c r="B53" t="s">
        <v>216</v>
      </c>
      <c r="C53" t="s">
        <v>217</v>
      </c>
      <c r="E53" t="s">
        <v>214</v>
      </c>
      <c r="F53" t="s">
        <v>218</v>
      </c>
    </row>
    <row r="54" spans="1:6" x14ac:dyDescent="0.2">
      <c r="A54" t="str">
        <f t="shared" si="0"/>
        <v>catalog02_KMF</v>
      </c>
      <c r="B54" t="s">
        <v>219</v>
      </c>
      <c r="C54" t="s">
        <v>220</v>
      </c>
      <c r="E54" t="s">
        <v>221</v>
      </c>
      <c r="F54" t="s">
        <v>222</v>
      </c>
    </row>
    <row r="55" spans="1:6" x14ac:dyDescent="0.2">
      <c r="A55" t="str">
        <f t="shared" si="0"/>
        <v>catalog02_CDF</v>
      </c>
      <c r="B55" t="s">
        <v>223</v>
      </c>
      <c r="C55" t="s">
        <v>224</v>
      </c>
      <c r="E55" t="s">
        <v>225</v>
      </c>
      <c r="F55" t="s">
        <v>226</v>
      </c>
    </row>
    <row r="56" spans="1:6" x14ac:dyDescent="0.2">
      <c r="A56" t="str">
        <f t="shared" si="0"/>
        <v>catalog02_XAF</v>
      </c>
      <c r="B56" t="s">
        <v>185</v>
      </c>
      <c r="C56" t="s">
        <v>186</v>
      </c>
      <c r="E56" t="s">
        <v>227</v>
      </c>
      <c r="F56" t="s">
        <v>188</v>
      </c>
    </row>
    <row r="57" spans="1:6" x14ac:dyDescent="0.2">
      <c r="A57" t="str">
        <f t="shared" si="0"/>
        <v>catalog02_NZD</v>
      </c>
      <c r="B57" t="s">
        <v>228</v>
      </c>
      <c r="C57" t="s">
        <v>229</v>
      </c>
      <c r="E57" t="s">
        <v>230</v>
      </c>
      <c r="F57" t="s">
        <v>231</v>
      </c>
    </row>
    <row r="58" spans="1:6" x14ac:dyDescent="0.2">
      <c r="A58" t="str">
        <f t="shared" si="0"/>
        <v>catalog02_CRC</v>
      </c>
      <c r="B58" t="s">
        <v>232</v>
      </c>
      <c r="C58" t="s">
        <v>233</v>
      </c>
      <c r="E58" t="s">
        <v>234</v>
      </c>
      <c r="F58" t="s">
        <v>235</v>
      </c>
    </row>
    <row r="59" spans="1:6" x14ac:dyDescent="0.2">
      <c r="A59" t="str">
        <f t="shared" si="0"/>
        <v>catalog02_XOF</v>
      </c>
      <c r="B59" t="s">
        <v>124</v>
      </c>
      <c r="C59" t="s">
        <v>125</v>
      </c>
      <c r="E59" t="s">
        <v>236</v>
      </c>
      <c r="F59" t="s">
        <v>127</v>
      </c>
    </row>
    <row r="60" spans="1:6" x14ac:dyDescent="0.2">
      <c r="A60" t="str">
        <f t="shared" si="0"/>
        <v>catalog02_HRK</v>
      </c>
      <c r="B60" t="s">
        <v>237</v>
      </c>
      <c r="C60" t="s">
        <v>238</v>
      </c>
      <c r="E60" t="s">
        <v>239</v>
      </c>
      <c r="F60" t="s">
        <v>240</v>
      </c>
    </row>
    <row r="61" spans="1:6" x14ac:dyDescent="0.2">
      <c r="A61" t="str">
        <f t="shared" si="0"/>
        <v>catalog02_CUP</v>
      </c>
      <c r="B61" t="s">
        <v>241</v>
      </c>
      <c r="C61" t="s">
        <v>242</v>
      </c>
      <c r="E61" t="s">
        <v>243</v>
      </c>
      <c r="F61" t="s">
        <v>244</v>
      </c>
    </row>
    <row r="62" spans="1:6" x14ac:dyDescent="0.2">
      <c r="A62" t="str">
        <f t="shared" si="0"/>
        <v>catalog02_CUC</v>
      </c>
      <c r="B62" t="s">
        <v>245</v>
      </c>
      <c r="C62" t="s">
        <v>246</v>
      </c>
      <c r="E62" t="s">
        <v>243</v>
      </c>
      <c r="F62" t="s">
        <v>247</v>
      </c>
    </row>
    <row r="63" spans="1:6" x14ac:dyDescent="0.2">
      <c r="A63" t="str">
        <f t="shared" si="0"/>
        <v>catalog02_ANG</v>
      </c>
      <c r="B63" t="s">
        <v>248</v>
      </c>
      <c r="C63" t="s">
        <v>249</v>
      </c>
      <c r="E63" t="s">
        <v>250</v>
      </c>
      <c r="F63" t="s">
        <v>251</v>
      </c>
    </row>
    <row r="64" spans="1:6" x14ac:dyDescent="0.2">
      <c r="A64" t="str">
        <f t="shared" si="0"/>
        <v>catalog02_EUR</v>
      </c>
      <c r="B64" t="s">
        <v>52</v>
      </c>
      <c r="C64" t="s">
        <v>53</v>
      </c>
      <c r="E64" t="s">
        <v>252</v>
      </c>
      <c r="F64" t="s">
        <v>55</v>
      </c>
    </row>
    <row r="65" spans="1:6" x14ac:dyDescent="0.2">
      <c r="A65" t="str">
        <f t="shared" si="0"/>
        <v>catalog02_CZK</v>
      </c>
      <c r="B65" t="s">
        <v>253</v>
      </c>
      <c r="C65" t="s">
        <v>254</v>
      </c>
      <c r="E65" t="s">
        <v>255</v>
      </c>
      <c r="F65" t="s">
        <v>256</v>
      </c>
    </row>
    <row r="66" spans="1:6" x14ac:dyDescent="0.2">
      <c r="A66" t="str">
        <f t="shared" ref="A66:A129" si="1">CONCATENATE("catalog02_",B66)</f>
        <v>catalog02_DKK</v>
      </c>
      <c r="B66" t="s">
        <v>257</v>
      </c>
      <c r="C66" t="s">
        <v>258</v>
      </c>
      <c r="E66" t="s">
        <v>259</v>
      </c>
      <c r="F66" t="s">
        <v>260</v>
      </c>
    </row>
    <row r="67" spans="1:6" x14ac:dyDescent="0.2">
      <c r="A67" t="str">
        <f t="shared" si="1"/>
        <v>catalog02_DJF</v>
      </c>
      <c r="B67" t="s">
        <v>261</v>
      </c>
      <c r="C67" t="s">
        <v>262</v>
      </c>
      <c r="E67" t="s">
        <v>263</v>
      </c>
      <c r="F67" t="s">
        <v>264</v>
      </c>
    </row>
    <row r="68" spans="1:6" x14ac:dyDescent="0.2">
      <c r="A68" t="str">
        <f t="shared" si="1"/>
        <v>catalog02_XCD</v>
      </c>
      <c r="B68" t="s">
        <v>73</v>
      </c>
      <c r="C68" t="s">
        <v>74</v>
      </c>
      <c r="E68" t="s">
        <v>265</v>
      </c>
      <c r="F68" t="s">
        <v>76</v>
      </c>
    </row>
    <row r="69" spans="1:6" x14ac:dyDescent="0.2">
      <c r="A69" t="str">
        <f t="shared" si="1"/>
        <v>catalog02_DOP</v>
      </c>
      <c r="B69" t="s">
        <v>266</v>
      </c>
      <c r="C69" t="s">
        <v>267</v>
      </c>
      <c r="E69" t="s">
        <v>268</v>
      </c>
      <c r="F69" t="s">
        <v>269</v>
      </c>
    </row>
    <row r="70" spans="1:6" x14ac:dyDescent="0.2">
      <c r="A70" t="str">
        <f t="shared" si="1"/>
        <v>catalog02_USD</v>
      </c>
      <c r="B70" t="s">
        <v>64</v>
      </c>
      <c r="C70" t="s">
        <v>65</v>
      </c>
      <c r="E70" t="s">
        <v>270</v>
      </c>
      <c r="F70" t="s">
        <v>67</v>
      </c>
    </row>
    <row r="71" spans="1:6" x14ac:dyDescent="0.2">
      <c r="A71" t="str">
        <f t="shared" si="1"/>
        <v>catalog02_EGP</v>
      </c>
      <c r="B71" t="s">
        <v>271</v>
      </c>
      <c r="C71" t="s">
        <v>272</v>
      </c>
      <c r="E71" t="s">
        <v>273</v>
      </c>
      <c r="F71" t="s">
        <v>274</v>
      </c>
    </row>
    <row r="72" spans="1:6" x14ac:dyDescent="0.2">
      <c r="A72" t="str">
        <f t="shared" si="1"/>
        <v>catalog02_SVC</v>
      </c>
      <c r="B72" t="s">
        <v>275</v>
      </c>
      <c r="C72" t="s">
        <v>276</v>
      </c>
      <c r="E72" t="s">
        <v>277</v>
      </c>
      <c r="F72" t="s">
        <v>278</v>
      </c>
    </row>
    <row r="73" spans="1:6" x14ac:dyDescent="0.2">
      <c r="A73" t="str">
        <f t="shared" si="1"/>
        <v>catalog02_USD</v>
      </c>
      <c r="B73" t="s">
        <v>64</v>
      </c>
      <c r="C73" t="s">
        <v>65</v>
      </c>
      <c r="E73" t="s">
        <v>277</v>
      </c>
      <c r="F73" t="s">
        <v>67</v>
      </c>
    </row>
    <row r="74" spans="1:6" x14ac:dyDescent="0.2">
      <c r="A74" t="str">
        <f t="shared" si="1"/>
        <v>catalog02_XAF</v>
      </c>
      <c r="B74" t="s">
        <v>185</v>
      </c>
      <c r="C74" t="s">
        <v>186</v>
      </c>
      <c r="E74" t="s">
        <v>279</v>
      </c>
      <c r="F74" t="s">
        <v>188</v>
      </c>
    </row>
    <row r="75" spans="1:6" x14ac:dyDescent="0.2">
      <c r="A75" t="str">
        <f t="shared" si="1"/>
        <v>catalog02_ERN</v>
      </c>
      <c r="B75" t="s">
        <v>280</v>
      </c>
      <c r="C75" t="s">
        <v>281</v>
      </c>
      <c r="E75" t="s">
        <v>282</v>
      </c>
      <c r="F75" t="s">
        <v>283</v>
      </c>
    </row>
    <row r="76" spans="1:6" x14ac:dyDescent="0.2">
      <c r="A76" t="str">
        <f t="shared" si="1"/>
        <v>catalog02_EUR</v>
      </c>
      <c r="B76" t="s">
        <v>52</v>
      </c>
      <c r="C76" t="s">
        <v>53</v>
      </c>
      <c r="E76" t="s">
        <v>284</v>
      </c>
      <c r="F76" t="s">
        <v>55</v>
      </c>
    </row>
    <row r="77" spans="1:6" x14ac:dyDescent="0.2">
      <c r="A77" t="str">
        <f t="shared" si="1"/>
        <v>catalog02_ETB</v>
      </c>
      <c r="B77" t="s">
        <v>285</v>
      </c>
      <c r="C77" t="s">
        <v>286</v>
      </c>
      <c r="E77" t="s">
        <v>287</v>
      </c>
      <c r="F77" t="s">
        <v>288</v>
      </c>
    </row>
    <row r="78" spans="1:6" x14ac:dyDescent="0.2">
      <c r="A78" t="str">
        <f t="shared" si="1"/>
        <v>catalog02_EUR</v>
      </c>
      <c r="B78" t="s">
        <v>52</v>
      </c>
      <c r="C78" t="s">
        <v>53</v>
      </c>
      <c r="E78" t="s">
        <v>289</v>
      </c>
      <c r="F78" t="s">
        <v>55</v>
      </c>
    </row>
    <row r="79" spans="1:6" x14ac:dyDescent="0.2">
      <c r="A79" t="str">
        <f t="shared" si="1"/>
        <v>catalog02_FKP</v>
      </c>
      <c r="B79" t="s">
        <v>290</v>
      </c>
      <c r="C79" t="s">
        <v>291</v>
      </c>
      <c r="E79" t="s">
        <v>292</v>
      </c>
      <c r="F79" t="s">
        <v>293</v>
      </c>
    </row>
    <row r="80" spans="1:6" x14ac:dyDescent="0.2">
      <c r="A80" t="str">
        <f t="shared" si="1"/>
        <v>catalog02_DKK</v>
      </c>
      <c r="B80" t="s">
        <v>257</v>
      </c>
      <c r="C80" t="s">
        <v>258</v>
      </c>
      <c r="E80" t="s">
        <v>294</v>
      </c>
      <c r="F80" t="s">
        <v>260</v>
      </c>
    </row>
    <row r="81" spans="1:6" x14ac:dyDescent="0.2">
      <c r="A81" t="str">
        <f t="shared" si="1"/>
        <v>catalog02_FJD</v>
      </c>
      <c r="B81" t="s">
        <v>295</v>
      </c>
      <c r="C81" t="s">
        <v>296</v>
      </c>
      <c r="E81" t="s">
        <v>297</v>
      </c>
      <c r="F81" t="s">
        <v>298</v>
      </c>
    </row>
    <row r="82" spans="1:6" x14ac:dyDescent="0.2">
      <c r="A82" t="str">
        <f t="shared" si="1"/>
        <v>catalog02_EUR</v>
      </c>
      <c r="B82" t="s">
        <v>52</v>
      </c>
      <c r="C82" t="s">
        <v>53</v>
      </c>
      <c r="E82" t="s">
        <v>299</v>
      </c>
      <c r="F82" t="s">
        <v>55</v>
      </c>
    </row>
    <row r="83" spans="1:6" x14ac:dyDescent="0.2">
      <c r="A83" t="str">
        <f t="shared" si="1"/>
        <v>catalog02_EUR</v>
      </c>
      <c r="B83" t="s">
        <v>52</v>
      </c>
      <c r="C83" t="s">
        <v>53</v>
      </c>
      <c r="E83" t="s">
        <v>300</v>
      </c>
      <c r="F83" t="s">
        <v>55</v>
      </c>
    </row>
    <row r="84" spans="1:6" x14ac:dyDescent="0.2">
      <c r="A84" t="str">
        <f t="shared" si="1"/>
        <v>catalog02_EUR</v>
      </c>
      <c r="B84" t="s">
        <v>52</v>
      </c>
      <c r="C84" t="s">
        <v>53</v>
      </c>
      <c r="E84" t="s">
        <v>301</v>
      </c>
      <c r="F84" t="s">
        <v>55</v>
      </c>
    </row>
    <row r="85" spans="1:6" x14ac:dyDescent="0.2">
      <c r="A85" t="str">
        <f t="shared" si="1"/>
        <v>catalog02_XPF</v>
      </c>
      <c r="B85" t="s">
        <v>302</v>
      </c>
      <c r="C85" t="s">
        <v>303</v>
      </c>
      <c r="E85" t="s">
        <v>304</v>
      </c>
      <c r="F85" t="s">
        <v>305</v>
      </c>
    </row>
    <row r="86" spans="1:6" x14ac:dyDescent="0.2">
      <c r="A86" t="str">
        <f t="shared" si="1"/>
        <v>catalog02_EUR</v>
      </c>
      <c r="B86" t="s">
        <v>52</v>
      </c>
      <c r="C86" t="s">
        <v>53</v>
      </c>
      <c r="E86" t="s">
        <v>306</v>
      </c>
      <c r="F86" t="s">
        <v>55</v>
      </c>
    </row>
    <row r="87" spans="1:6" x14ac:dyDescent="0.2">
      <c r="A87" t="str">
        <f t="shared" si="1"/>
        <v>catalog02_XAF</v>
      </c>
      <c r="B87" t="s">
        <v>185</v>
      </c>
      <c r="C87" t="s">
        <v>186</v>
      </c>
      <c r="E87" t="s">
        <v>307</v>
      </c>
      <c r="F87" t="s">
        <v>188</v>
      </c>
    </row>
    <row r="88" spans="1:6" x14ac:dyDescent="0.2">
      <c r="A88" t="str">
        <f t="shared" si="1"/>
        <v>catalog02_GMD</v>
      </c>
      <c r="B88" t="s">
        <v>308</v>
      </c>
      <c r="C88" t="s">
        <v>309</v>
      </c>
      <c r="E88" t="s">
        <v>310</v>
      </c>
      <c r="F88" t="s">
        <v>311</v>
      </c>
    </row>
    <row r="89" spans="1:6" x14ac:dyDescent="0.2">
      <c r="A89" t="str">
        <f t="shared" si="1"/>
        <v>catalog02_GEL</v>
      </c>
      <c r="B89" t="s">
        <v>312</v>
      </c>
      <c r="C89" t="s">
        <v>313</v>
      </c>
      <c r="E89" t="s">
        <v>314</v>
      </c>
      <c r="F89" t="s">
        <v>315</v>
      </c>
    </row>
    <row r="90" spans="1:6" x14ac:dyDescent="0.2">
      <c r="A90" t="str">
        <f t="shared" si="1"/>
        <v>catalog02_EUR</v>
      </c>
      <c r="B90" t="s">
        <v>52</v>
      </c>
      <c r="C90" t="s">
        <v>53</v>
      </c>
      <c r="E90" t="s">
        <v>316</v>
      </c>
      <c r="F90" t="s">
        <v>55</v>
      </c>
    </row>
    <row r="91" spans="1:6" x14ac:dyDescent="0.2">
      <c r="A91" t="str">
        <f t="shared" si="1"/>
        <v>catalog02_GHS</v>
      </c>
      <c r="B91" t="s">
        <v>317</v>
      </c>
      <c r="C91" t="s">
        <v>318</v>
      </c>
      <c r="E91" t="s">
        <v>319</v>
      </c>
      <c r="F91" t="s">
        <v>320</v>
      </c>
    </row>
    <row r="92" spans="1:6" x14ac:dyDescent="0.2">
      <c r="A92" t="str">
        <f t="shared" si="1"/>
        <v>catalog02_GIP</v>
      </c>
      <c r="B92" t="s">
        <v>321</v>
      </c>
      <c r="C92" t="s">
        <v>322</v>
      </c>
      <c r="E92" t="s">
        <v>323</v>
      </c>
      <c r="F92" t="s">
        <v>324</v>
      </c>
    </row>
    <row r="93" spans="1:6" x14ac:dyDescent="0.2">
      <c r="A93" t="str">
        <f t="shared" si="1"/>
        <v>catalog02_EUR</v>
      </c>
      <c r="B93" t="s">
        <v>52</v>
      </c>
      <c r="C93" t="s">
        <v>53</v>
      </c>
      <c r="E93" t="s">
        <v>325</v>
      </c>
      <c r="F93" t="s">
        <v>55</v>
      </c>
    </row>
    <row r="94" spans="1:6" x14ac:dyDescent="0.2">
      <c r="A94" t="str">
        <f t="shared" si="1"/>
        <v>catalog02_DKK</v>
      </c>
      <c r="B94" t="s">
        <v>257</v>
      </c>
      <c r="C94" t="s">
        <v>258</v>
      </c>
      <c r="E94" t="s">
        <v>326</v>
      </c>
      <c r="F94" t="s">
        <v>260</v>
      </c>
    </row>
    <row r="95" spans="1:6" x14ac:dyDescent="0.2">
      <c r="A95" t="str">
        <f t="shared" si="1"/>
        <v>catalog02_XCD</v>
      </c>
      <c r="B95" t="s">
        <v>73</v>
      </c>
      <c r="C95" t="s">
        <v>74</v>
      </c>
      <c r="E95" t="s">
        <v>327</v>
      </c>
      <c r="F95" t="s">
        <v>76</v>
      </c>
    </row>
    <row r="96" spans="1:6" x14ac:dyDescent="0.2">
      <c r="A96" t="str">
        <f t="shared" si="1"/>
        <v>catalog02_EUR</v>
      </c>
      <c r="B96" t="s">
        <v>52</v>
      </c>
      <c r="C96" t="s">
        <v>53</v>
      </c>
      <c r="E96" t="s">
        <v>328</v>
      </c>
      <c r="F96" t="s">
        <v>55</v>
      </c>
    </row>
    <row r="97" spans="1:6" x14ac:dyDescent="0.2">
      <c r="A97" t="str">
        <f t="shared" si="1"/>
        <v>catalog02_USD</v>
      </c>
      <c r="B97" t="s">
        <v>64</v>
      </c>
      <c r="C97" t="s">
        <v>65</v>
      </c>
      <c r="E97" t="s">
        <v>329</v>
      </c>
      <c r="F97" t="s">
        <v>67</v>
      </c>
    </row>
    <row r="98" spans="1:6" x14ac:dyDescent="0.2">
      <c r="A98" t="str">
        <f t="shared" si="1"/>
        <v>catalog02_GTQ</v>
      </c>
      <c r="B98" t="s">
        <v>330</v>
      </c>
      <c r="C98" t="s">
        <v>331</v>
      </c>
      <c r="E98" t="s">
        <v>332</v>
      </c>
      <c r="F98" t="s">
        <v>333</v>
      </c>
    </row>
    <row r="99" spans="1:6" x14ac:dyDescent="0.2">
      <c r="A99" t="str">
        <f t="shared" si="1"/>
        <v>catalog02_GBP</v>
      </c>
      <c r="B99" t="s">
        <v>334</v>
      </c>
      <c r="C99" t="s">
        <v>335</v>
      </c>
      <c r="E99" t="s">
        <v>336</v>
      </c>
      <c r="F99" t="s">
        <v>337</v>
      </c>
    </row>
    <row r="100" spans="1:6" x14ac:dyDescent="0.2">
      <c r="A100" t="str">
        <f t="shared" si="1"/>
        <v>catalog02_GNF</v>
      </c>
      <c r="B100" t="s">
        <v>338</v>
      </c>
      <c r="C100" t="s">
        <v>339</v>
      </c>
      <c r="E100" t="s">
        <v>340</v>
      </c>
      <c r="F100" t="s">
        <v>341</v>
      </c>
    </row>
    <row r="101" spans="1:6" x14ac:dyDescent="0.2">
      <c r="A101" t="str">
        <f t="shared" si="1"/>
        <v>catalog02_XOF</v>
      </c>
      <c r="B101" t="s">
        <v>124</v>
      </c>
      <c r="C101" t="s">
        <v>125</v>
      </c>
      <c r="E101" t="s">
        <v>342</v>
      </c>
      <c r="F101" t="s">
        <v>127</v>
      </c>
    </row>
    <row r="102" spans="1:6" x14ac:dyDescent="0.2">
      <c r="A102" t="str">
        <f t="shared" si="1"/>
        <v>catalog02_GYD</v>
      </c>
      <c r="B102" t="s">
        <v>343</v>
      </c>
      <c r="C102" t="s">
        <v>344</v>
      </c>
      <c r="E102" t="s">
        <v>345</v>
      </c>
      <c r="F102" t="s">
        <v>346</v>
      </c>
    </row>
    <row r="103" spans="1:6" x14ac:dyDescent="0.2">
      <c r="A103" t="str">
        <f t="shared" si="1"/>
        <v>catalog02_HTG</v>
      </c>
      <c r="B103" t="s">
        <v>347</v>
      </c>
      <c r="C103" t="s">
        <v>348</v>
      </c>
      <c r="E103" t="s">
        <v>349</v>
      </c>
      <c r="F103" t="s">
        <v>350</v>
      </c>
    </row>
    <row r="104" spans="1:6" x14ac:dyDescent="0.2">
      <c r="A104" t="str">
        <f t="shared" si="1"/>
        <v>catalog02_USD</v>
      </c>
      <c r="B104" t="s">
        <v>64</v>
      </c>
      <c r="C104" t="s">
        <v>65</v>
      </c>
      <c r="E104" t="s">
        <v>349</v>
      </c>
      <c r="F104" t="s">
        <v>67</v>
      </c>
    </row>
    <row r="105" spans="1:6" x14ac:dyDescent="0.2">
      <c r="A105" t="str">
        <f t="shared" si="1"/>
        <v>catalog02_AUD</v>
      </c>
      <c r="B105" t="s">
        <v>90</v>
      </c>
      <c r="C105" t="s">
        <v>91</v>
      </c>
      <c r="E105" t="s">
        <v>351</v>
      </c>
      <c r="F105" t="s">
        <v>93</v>
      </c>
    </row>
    <row r="106" spans="1:6" x14ac:dyDescent="0.2">
      <c r="A106" t="str">
        <f t="shared" si="1"/>
        <v>catalog02_EUR</v>
      </c>
      <c r="B106" t="s">
        <v>52</v>
      </c>
      <c r="C106" t="s">
        <v>53</v>
      </c>
      <c r="E106" t="s">
        <v>352</v>
      </c>
      <c r="F106" t="s">
        <v>55</v>
      </c>
    </row>
    <row r="107" spans="1:6" x14ac:dyDescent="0.2">
      <c r="A107" t="str">
        <f t="shared" si="1"/>
        <v>catalog02_HNL</v>
      </c>
      <c r="B107" t="s">
        <v>353</v>
      </c>
      <c r="C107" t="s">
        <v>354</v>
      </c>
      <c r="E107" t="s">
        <v>355</v>
      </c>
      <c r="F107" t="s">
        <v>356</v>
      </c>
    </row>
    <row r="108" spans="1:6" x14ac:dyDescent="0.2">
      <c r="A108" t="str">
        <f t="shared" si="1"/>
        <v>catalog02_HKD</v>
      </c>
      <c r="B108" t="s">
        <v>357</v>
      </c>
      <c r="C108" t="s">
        <v>358</v>
      </c>
      <c r="E108" t="s">
        <v>359</v>
      </c>
      <c r="F108" t="s">
        <v>360</v>
      </c>
    </row>
    <row r="109" spans="1:6" x14ac:dyDescent="0.2">
      <c r="A109" t="str">
        <f t="shared" si="1"/>
        <v>catalog02_HUF</v>
      </c>
      <c r="B109" t="s">
        <v>361</v>
      </c>
      <c r="C109" t="s">
        <v>362</v>
      </c>
      <c r="E109" t="s">
        <v>363</v>
      </c>
      <c r="F109" t="s">
        <v>364</v>
      </c>
    </row>
    <row r="110" spans="1:6" x14ac:dyDescent="0.2">
      <c r="A110" t="str">
        <f t="shared" si="1"/>
        <v>catalog02_ISK</v>
      </c>
      <c r="B110" t="s">
        <v>365</v>
      </c>
      <c r="C110" t="s">
        <v>366</v>
      </c>
      <c r="E110" t="s">
        <v>367</v>
      </c>
      <c r="F110" t="s">
        <v>368</v>
      </c>
    </row>
    <row r="111" spans="1:6" x14ac:dyDescent="0.2">
      <c r="A111" t="str">
        <f t="shared" si="1"/>
        <v>catalog02_INR</v>
      </c>
      <c r="B111" t="s">
        <v>132</v>
      </c>
      <c r="C111" t="s">
        <v>133</v>
      </c>
      <c r="E111" t="s">
        <v>369</v>
      </c>
      <c r="F111" t="s">
        <v>135</v>
      </c>
    </row>
    <row r="112" spans="1:6" x14ac:dyDescent="0.2">
      <c r="A112" t="str">
        <f t="shared" si="1"/>
        <v>catalog02_IDR</v>
      </c>
      <c r="B112" t="s">
        <v>370</v>
      </c>
      <c r="C112" t="s">
        <v>371</v>
      </c>
      <c r="E112" t="s">
        <v>372</v>
      </c>
      <c r="F112" t="s">
        <v>373</v>
      </c>
    </row>
    <row r="113" spans="1:6" x14ac:dyDescent="0.2">
      <c r="A113" t="str">
        <f t="shared" si="1"/>
        <v>catalog02_XDR</v>
      </c>
      <c r="B113" t="s">
        <v>374</v>
      </c>
      <c r="C113" t="s">
        <v>375</v>
      </c>
      <c r="E113" t="s">
        <v>376</v>
      </c>
      <c r="F113" t="s">
        <v>377</v>
      </c>
    </row>
    <row r="114" spans="1:6" x14ac:dyDescent="0.2">
      <c r="A114" t="str">
        <f t="shared" si="1"/>
        <v>catalog02_IRR</v>
      </c>
      <c r="B114" t="s">
        <v>378</v>
      </c>
      <c r="C114" t="s">
        <v>379</v>
      </c>
      <c r="E114" t="s">
        <v>380</v>
      </c>
      <c r="F114" t="s">
        <v>381</v>
      </c>
    </row>
    <row r="115" spans="1:6" x14ac:dyDescent="0.2">
      <c r="A115" t="str">
        <f t="shared" si="1"/>
        <v>catalog02_IQD</v>
      </c>
      <c r="B115" t="s">
        <v>382</v>
      </c>
      <c r="C115" t="s">
        <v>383</v>
      </c>
      <c r="E115" t="s">
        <v>384</v>
      </c>
      <c r="F115" t="s">
        <v>385</v>
      </c>
    </row>
    <row r="116" spans="1:6" x14ac:dyDescent="0.2">
      <c r="A116" t="str">
        <f t="shared" si="1"/>
        <v>catalog02_EUR</v>
      </c>
      <c r="B116" t="s">
        <v>52</v>
      </c>
      <c r="C116" t="s">
        <v>53</v>
      </c>
      <c r="E116" t="s">
        <v>386</v>
      </c>
      <c r="F116" t="s">
        <v>55</v>
      </c>
    </row>
    <row r="117" spans="1:6" x14ac:dyDescent="0.2">
      <c r="A117" t="str">
        <f t="shared" si="1"/>
        <v>catalog02_GBP</v>
      </c>
      <c r="B117" t="s">
        <v>334</v>
      </c>
      <c r="C117" t="s">
        <v>335</v>
      </c>
      <c r="E117" t="s">
        <v>387</v>
      </c>
      <c r="F117" t="s">
        <v>337</v>
      </c>
    </row>
    <row r="118" spans="1:6" x14ac:dyDescent="0.2">
      <c r="A118" t="str">
        <f t="shared" si="1"/>
        <v>catalog02_ILS</v>
      </c>
      <c r="B118" t="s">
        <v>388</v>
      </c>
      <c r="C118" t="s">
        <v>389</v>
      </c>
      <c r="E118" t="s">
        <v>390</v>
      </c>
      <c r="F118" t="s">
        <v>391</v>
      </c>
    </row>
    <row r="119" spans="1:6" x14ac:dyDescent="0.2">
      <c r="A119" t="str">
        <f t="shared" si="1"/>
        <v>catalog02_EUR</v>
      </c>
      <c r="B119" t="s">
        <v>52</v>
      </c>
      <c r="C119" t="s">
        <v>53</v>
      </c>
      <c r="E119" t="s">
        <v>392</v>
      </c>
      <c r="F119" t="s">
        <v>55</v>
      </c>
    </row>
    <row r="120" spans="1:6" x14ac:dyDescent="0.2">
      <c r="A120" t="str">
        <f t="shared" si="1"/>
        <v>catalog02_JMD</v>
      </c>
      <c r="B120" t="s">
        <v>393</v>
      </c>
      <c r="C120" t="s">
        <v>394</v>
      </c>
      <c r="E120" t="s">
        <v>395</v>
      </c>
      <c r="F120" t="s">
        <v>396</v>
      </c>
    </row>
    <row r="121" spans="1:6" x14ac:dyDescent="0.2">
      <c r="A121" t="str">
        <f t="shared" si="1"/>
        <v>catalog02_JPY</v>
      </c>
      <c r="B121" t="s">
        <v>397</v>
      </c>
      <c r="C121" t="s">
        <v>398</v>
      </c>
      <c r="E121" t="s">
        <v>399</v>
      </c>
      <c r="F121" t="s">
        <v>400</v>
      </c>
    </row>
    <row r="122" spans="1:6" x14ac:dyDescent="0.2">
      <c r="A122" t="str">
        <f t="shared" si="1"/>
        <v>catalog02_GBP</v>
      </c>
      <c r="B122" t="s">
        <v>334</v>
      </c>
      <c r="C122" t="s">
        <v>335</v>
      </c>
      <c r="E122" t="s">
        <v>401</v>
      </c>
      <c r="F122" t="s">
        <v>337</v>
      </c>
    </row>
    <row r="123" spans="1:6" x14ac:dyDescent="0.2">
      <c r="A123" t="str">
        <f t="shared" si="1"/>
        <v>catalog02_JOD</v>
      </c>
      <c r="B123" t="s">
        <v>402</v>
      </c>
      <c r="C123" t="s">
        <v>403</v>
      </c>
      <c r="E123" t="s">
        <v>404</v>
      </c>
      <c r="F123" t="s">
        <v>405</v>
      </c>
    </row>
    <row r="124" spans="1:6" x14ac:dyDescent="0.2">
      <c r="A124" t="str">
        <f t="shared" si="1"/>
        <v>catalog02_KZT</v>
      </c>
      <c r="B124" t="s">
        <v>406</v>
      </c>
      <c r="C124" t="s">
        <v>407</v>
      </c>
      <c r="E124" t="s">
        <v>408</v>
      </c>
      <c r="F124" t="s">
        <v>409</v>
      </c>
    </row>
    <row r="125" spans="1:6" x14ac:dyDescent="0.2">
      <c r="A125" t="str">
        <f t="shared" si="1"/>
        <v>catalog02_KES</v>
      </c>
      <c r="B125" t="s">
        <v>410</v>
      </c>
      <c r="C125" t="s">
        <v>411</v>
      </c>
      <c r="E125" t="s">
        <v>412</v>
      </c>
      <c r="F125" t="s">
        <v>413</v>
      </c>
    </row>
    <row r="126" spans="1:6" x14ac:dyDescent="0.2">
      <c r="A126" t="str">
        <f t="shared" si="1"/>
        <v>catalog02_AUD</v>
      </c>
      <c r="B126" t="s">
        <v>90</v>
      </c>
      <c r="C126" t="s">
        <v>91</v>
      </c>
      <c r="E126" t="s">
        <v>414</v>
      </c>
      <c r="F126" t="s">
        <v>93</v>
      </c>
    </row>
    <row r="127" spans="1:6" x14ac:dyDescent="0.2">
      <c r="A127" t="str">
        <f t="shared" si="1"/>
        <v>catalog02_KPW</v>
      </c>
      <c r="B127" t="s">
        <v>415</v>
      </c>
      <c r="C127" t="s">
        <v>416</v>
      </c>
      <c r="E127" t="s">
        <v>417</v>
      </c>
      <c r="F127" t="s">
        <v>418</v>
      </c>
    </row>
    <row r="128" spans="1:6" x14ac:dyDescent="0.2">
      <c r="A128" t="str">
        <f t="shared" si="1"/>
        <v>catalog02_KRW</v>
      </c>
      <c r="B128" t="s">
        <v>419</v>
      </c>
      <c r="C128" t="s">
        <v>420</v>
      </c>
      <c r="E128" t="s">
        <v>421</v>
      </c>
      <c r="F128" t="s">
        <v>422</v>
      </c>
    </row>
    <row r="129" spans="1:6" x14ac:dyDescent="0.2">
      <c r="A129" t="str">
        <f t="shared" si="1"/>
        <v>catalog02_KWD</v>
      </c>
      <c r="B129" t="s">
        <v>423</v>
      </c>
      <c r="C129" t="s">
        <v>424</v>
      </c>
      <c r="E129" t="s">
        <v>425</v>
      </c>
      <c r="F129" t="s">
        <v>426</v>
      </c>
    </row>
    <row r="130" spans="1:6" x14ac:dyDescent="0.2">
      <c r="A130" t="str">
        <f t="shared" ref="A130:A193" si="2">CONCATENATE("catalog02_",B130)</f>
        <v>catalog02_KGS</v>
      </c>
      <c r="B130" t="s">
        <v>427</v>
      </c>
      <c r="C130" t="s">
        <v>428</v>
      </c>
      <c r="E130" t="s">
        <v>429</v>
      </c>
      <c r="F130" t="s">
        <v>430</v>
      </c>
    </row>
    <row r="131" spans="1:6" x14ac:dyDescent="0.2">
      <c r="A131" t="str">
        <f t="shared" si="2"/>
        <v>catalog02_LAK</v>
      </c>
      <c r="B131" t="s">
        <v>431</v>
      </c>
      <c r="C131" t="s">
        <v>432</v>
      </c>
      <c r="E131" t="s">
        <v>433</v>
      </c>
      <c r="F131" t="s">
        <v>434</v>
      </c>
    </row>
    <row r="132" spans="1:6" x14ac:dyDescent="0.2">
      <c r="A132" t="str">
        <f t="shared" si="2"/>
        <v>catalog02_EUR</v>
      </c>
      <c r="B132" t="s">
        <v>52</v>
      </c>
      <c r="C132" t="s">
        <v>53</v>
      </c>
      <c r="E132" t="s">
        <v>435</v>
      </c>
      <c r="F132" t="s">
        <v>55</v>
      </c>
    </row>
    <row r="133" spans="1:6" x14ac:dyDescent="0.2">
      <c r="A133" t="str">
        <f t="shared" si="2"/>
        <v>catalog02_LBP</v>
      </c>
      <c r="B133" t="s">
        <v>436</v>
      </c>
      <c r="C133" t="s">
        <v>437</v>
      </c>
      <c r="E133" t="s">
        <v>438</v>
      </c>
      <c r="F133" t="s">
        <v>439</v>
      </c>
    </row>
    <row r="134" spans="1:6" x14ac:dyDescent="0.2">
      <c r="A134" t="str">
        <f t="shared" si="2"/>
        <v>catalog02_LSL</v>
      </c>
      <c r="B134" t="s">
        <v>440</v>
      </c>
      <c r="C134" t="s">
        <v>441</v>
      </c>
      <c r="E134" t="s">
        <v>442</v>
      </c>
      <c r="F134" t="s">
        <v>443</v>
      </c>
    </row>
    <row r="135" spans="1:6" x14ac:dyDescent="0.2">
      <c r="A135" t="str">
        <f t="shared" si="2"/>
        <v>catalog02_ZAR</v>
      </c>
      <c r="B135" t="s">
        <v>444</v>
      </c>
      <c r="C135" t="s">
        <v>445</v>
      </c>
      <c r="E135" t="s">
        <v>442</v>
      </c>
      <c r="F135" t="s">
        <v>446</v>
      </c>
    </row>
    <row r="136" spans="1:6" x14ac:dyDescent="0.2">
      <c r="A136" t="str">
        <f t="shared" si="2"/>
        <v>catalog02_LRD</v>
      </c>
      <c r="B136" t="s">
        <v>447</v>
      </c>
      <c r="C136" t="s">
        <v>448</v>
      </c>
      <c r="E136" t="s">
        <v>449</v>
      </c>
      <c r="F136" t="s">
        <v>450</v>
      </c>
    </row>
    <row r="137" spans="1:6" x14ac:dyDescent="0.2">
      <c r="A137" t="str">
        <f t="shared" si="2"/>
        <v>catalog02_LYD</v>
      </c>
      <c r="B137" t="s">
        <v>451</v>
      </c>
      <c r="C137" t="s">
        <v>452</v>
      </c>
      <c r="E137" t="s">
        <v>453</v>
      </c>
      <c r="F137" t="s">
        <v>454</v>
      </c>
    </row>
    <row r="138" spans="1:6" x14ac:dyDescent="0.2">
      <c r="A138" t="str">
        <f t="shared" si="2"/>
        <v>catalog02_CHF</v>
      </c>
      <c r="B138" t="s">
        <v>455</v>
      </c>
      <c r="C138" t="s">
        <v>456</v>
      </c>
      <c r="E138" t="s">
        <v>457</v>
      </c>
      <c r="F138" t="s">
        <v>458</v>
      </c>
    </row>
    <row r="139" spans="1:6" x14ac:dyDescent="0.2">
      <c r="A139" t="str">
        <f t="shared" si="2"/>
        <v>catalog02_EUR</v>
      </c>
      <c r="B139" t="s">
        <v>52</v>
      </c>
      <c r="C139" t="s">
        <v>53</v>
      </c>
      <c r="E139" t="s">
        <v>459</v>
      </c>
      <c r="F139" t="s">
        <v>55</v>
      </c>
    </row>
    <row r="140" spans="1:6" x14ac:dyDescent="0.2">
      <c r="A140" t="str">
        <f t="shared" si="2"/>
        <v>catalog02_EUR</v>
      </c>
      <c r="B140" t="s">
        <v>52</v>
      </c>
      <c r="C140" t="s">
        <v>53</v>
      </c>
      <c r="E140" t="s">
        <v>460</v>
      </c>
      <c r="F140" t="s">
        <v>55</v>
      </c>
    </row>
    <row r="141" spans="1:6" x14ac:dyDescent="0.2">
      <c r="A141" t="str">
        <f t="shared" si="2"/>
        <v>catalog02_MOP</v>
      </c>
      <c r="B141" t="s">
        <v>461</v>
      </c>
      <c r="C141" t="s">
        <v>462</v>
      </c>
      <c r="E141" t="s">
        <v>463</v>
      </c>
      <c r="F141" t="s">
        <v>464</v>
      </c>
    </row>
    <row r="142" spans="1:6" x14ac:dyDescent="0.2">
      <c r="A142" t="str">
        <f t="shared" si="2"/>
        <v>catalog02_MKD</v>
      </c>
      <c r="B142" t="s">
        <v>465</v>
      </c>
      <c r="C142" t="s">
        <v>466</v>
      </c>
      <c r="E142" t="s">
        <v>467</v>
      </c>
      <c r="F142" t="s">
        <v>468</v>
      </c>
    </row>
    <row r="143" spans="1:6" x14ac:dyDescent="0.2">
      <c r="A143" t="str">
        <f t="shared" si="2"/>
        <v>catalog02_MGA</v>
      </c>
      <c r="B143" t="s">
        <v>469</v>
      </c>
      <c r="C143" t="s">
        <v>470</v>
      </c>
      <c r="E143" t="s">
        <v>471</v>
      </c>
      <c r="F143" t="s">
        <v>472</v>
      </c>
    </row>
    <row r="144" spans="1:6" x14ac:dyDescent="0.2">
      <c r="A144" t="str">
        <f t="shared" si="2"/>
        <v>catalog02_MWK</v>
      </c>
      <c r="B144" t="s">
        <v>473</v>
      </c>
      <c r="C144" t="s">
        <v>474</v>
      </c>
      <c r="E144" t="s">
        <v>475</v>
      </c>
      <c r="F144" t="s">
        <v>476</v>
      </c>
    </row>
    <row r="145" spans="1:6" x14ac:dyDescent="0.2">
      <c r="A145" t="str">
        <f t="shared" si="2"/>
        <v>catalog02_MYR</v>
      </c>
      <c r="B145" t="s">
        <v>477</v>
      </c>
      <c r="C145" t="s">
        <v>478</v>
      </c>
      <c r="E145" t="s">
        <v>479</v>
      </c>
      <c r="F145" t="s">
        <v>480</v>
      </c>
    </row>
    <row r="146" spans="1:6" x14ac:dyDescent="0.2">
      <c r="A146" t="str">
        <f t="shared" si="2"/>
        <v>catalog02_MVR</v>
      </c>
      <c r="B146" t="s">
        <v>481</v>
      </c>
      <c r="C146" t="s">
        <v>482</v>
      </c>
      <c r="E146" t="s">
        <v>483</v>
      </c>
      <c r="F146" t="s">
        <v>484</v>
      </c>
    </row>
    <row r="147" spans="1:6" x14ac:dyDescent="0.2">
      <c r="A147" t="str">
        <f t="shared" si="2"/>
        <v>catalog02_XOF</v>
      </c>
      <c r="B147" t="s">
        <v>124</v>
      </c>
      <c r="C147" t="s">
        <v>125</v>
      </c>
      <c r="E147" t="s">
        <v>485</v>
      </c>
      <c r="F147" t="s">
        <v>127</v>
      </c>
    </row>
    <row r="148" spans="1:6" x14ac:dyDescent="0.2">
      <c r="A148" t="str">
        <f t="shared" si="2"/>
        <v>catalog02_EUR</v>
      </c>
      <c r="B148" t="s">
        <v>52</v>
      </c>
      <c r="C148" t="s">
        <v>53</v>
      </c>
      <c r="E148" t="s">
        <v>486</v>
      </c>
      <c r="F148" t="s">
        <v>55</v>
      </c>
    </row>
    <row r="149" spans="1:6" x14ac:dyDescent="0.2">
      <c r="A149" t="str">
        <f t="shared" si="2"/>
        <v>catalog02_USD</v>
      </c>
      <c r="B149" t="s">
        <v>64</v>
      </c>
      <c r="C149" t="s">
        <v>65</v>
      </c>
      <c r="E149" t="s">
        <v>487</v>
      </c>
      <c r="F149" t="s">
        <v>67</v>
      </c>
    </row>
    <row r="150" spans="1:6" x14ac:dyDescent="0.2">
      <c r="A150" t="str">
        <f t="shared" si="2"/>
        <v>catalog02_EUR</v>
      </c>
      <c r="B150" t="s">
        <v>52</v>
      </c>
      <c r="C150" t="s">
        <v>53</v>
      </c>
      <c r="E150" t="s">
        <v>488</v>
      </c>
      <c r="F150" t="s">
        <v>55</v>
      </c>
    </row>
    <row r="151" spans="1:6" x14ac:dyDescent="0.2">
      <c r="A151" t="str">
        <f t="shared" si="2"/>
        <v>catalog02_MRU</v>
      </c>
      <c r="B151" t="s">
        <v>489</v>
      </c>
      <c r="C151" t="s">
        <v>490</v>
      </c>
      <c r="E151" t="s">
        <v>491</v>
      </c>
      <c r="F151" t="s">
        <v>492</v>
      </c>
    </row>
    <row r="152" spans="1:6" x14ac:dyDescent="0.2">
      <c r="A152" t="str">
        <f t="shared" si="2"/>
        <v>catalog02_MUR</v>
      </c>
      <c r="B152" t="s">
        <v>493</v>
      </c>
      <c r="C152" t="s">
        <v>494</v>
      </c>
      <c r="E152" t="s">
        <v>495</v>
      </c>
      <c r="F152" t="s">
        <v>496</v>
      </c>
    </row>
    <row r="153" spans="1:6" x14ac:dyDescent="0.2">
      <c r="A153" t="str">
        <f t="shared" si="2"/>
        <v>catalog02_EUR</v>
      </c>
      <c r="B153" t="s">
        <v>52</v>
      </c>
      <c r="C153" t="s">
        <v>53</v>
      </c>
      <c r="E153" t="s">
        <v>497</v>
      </c>
      <c r="F153" t="s">
        <v>55</v>
      </c>
    </row>
    <row r="154" spans="1:6" x14ac:dyDescent="0.2">
      <c r="A154" t="str">
        <f t="shared" si="2"/>
        <v>catalog02_XUA</v>
      </c>
      <c r="B154" t="s">
        <v>498</v>
      </c>
      <c r="C154" t="s">
        <v>499</v>
      </c>
      <c r="E154" t="s">
        <v>500</v>
      </c>
      <c r="F154" t="s">
        <v>501</v>
      </c>
    </row>
    <row r="155" spans="1:6" x14ac:dyDescent="0.2">
      <c r="A155" t="str">
        <f t="shared" si="2"/>
        <v>catalog02_MXN</v>
      </c>
      <c r="B155" t="s">
        <v>502</v>
      </c>
      <c r="C155" t="s">
        <v>503</v>
      </c>
      <c r="E155" t="s">
        <v>504</v>
      </c>
      <c r="F155" t="s">
        <v>505</v>
      </c>
    </row>
    <row r="156" spans="1:6" x14ac:dyDescent="0.2">
      <c r="A156" t="str">
        <f t="shared" si="2"/>
        <v>catalog02_MXV</v>
      </c>
      <c r="B156" t="s">
        <v>506</v>
      </c>
      <c r="C156" t="s">
        <v>507</v>
      </c>
      <c r="E156" t="s">
        <v>504</v>
      </c>
      <c r="F156" t="s">
        <v>508</v>
      </c>
    </row>
    <row r="157" spans="1:6" x14ac:dyDescent="0.2">
      <c r="A157" t="str">
        <f t="shared" si="2"/>
        <v>catalog02_USD</v>
      </c>
      <c r="B157" t="s">
        <v>64</v>
      </c>
      <c r="C157" t="s">
        <v>65</v>
      </c>
      <c r="E157" t="s">
        <v>509</v>
      </c>
      <c r="F157" t="s">
        <v>67</v>
      </c>
    </row>
    <row r="158" spans="1:6" x14ac:dyDescent="0.2">
      <c r="A158" t="str">
        <f t="shared" si="2"/>
        <v>catalog02_MDL</v>
      </c>
      <c r="B158" t="s">
        <v>510</v>
      </c>
      <c r="C158" t="s">
        <v>511</v>
      </c>
      <c r="E158" t="s">
        <v>512</v>
      </c>
      <c r="F158" t="s">
        <v>513</v>
      </c>
    </row>
    <row r="159" spans="1:6" x14ac:dyDescent="0.2">
      <c r="A159" t="str">
        <f t="shared" si="2"/>
        <v>catalog02_EUR</v>
      </c>
      <c r="B159" t="s">
        <v>52</v>
      </c>
      <c r="C159" t="s">
        <v>53</v>
      </c>
      <c r="E159" t="s">
        <v>514</v>
      </c>
      <c r="F159" t="s">
        <v>55</v>
      </c>
    </row>
    <row r="160" spans="1:6" x14ac:dyDescent="0.2">
      <c r="A160" t="str">
        <f t="shared" si="2"/>
        <v>catalog02_MNT</v>
      </c>
      <c r="B160" t="s">
        <v>515</v>
      </c>
      <c r="C160" t="s">
        <v>516</v>
      </c>
      <c r="E160" t="s">
        <v>517</v>
      </c>
      <c r="F160" t="s">
        <v>518</v>
      </c>
    </row>
    <row r="161" spans="1:6" x14ac:dyDescent="0.2">
      <c r="A161" t="str">
        <f t="shared" si="2"/>
        <v>catalog02_EUR</v>
      </c>
      <c r="B161" t="s">
        <v>52</v>
      </c>
      <c r="C161" t="s">
        <v>53</v>
      </c>
      <c r="E161" t="s">
        <v>519</v>
      </c>
      <c r="F161" t="s">
        <v>55</v>
      </c>
    </row>
    <row r="162" spans="1:6" x14ac:dyDescent="0.2">
      <c r="A162" t="str">
        <f t="shared" si="2"/>
        <v>catalog02_XCD</v>
      </c>
      <c r="B162" t="s">
        <v>73</v>
      </c>
      <c r="C162" t="s">
        <v>74</v>
      </c>
      <c r="E162" t="s">
        <v>520</v>
      </c>
      <c r="F162" t="s">
        <v>76</v>
      </c>
    </row>
    <row r="163" spans="1:6" x14ac:dyDescent="0.2">
      <c r="A163" t="str">
        <f t="shared" si="2"/>
        <v>catalog02_MAD</v>
      </c>
      <c r="B163" t="s">
        <v>521</v>
      </c>
      <c r="C163" t="s">
        <v>522</v>
      </c>
      <c r="E163" t="s">
        <v>523</v>
      </c>
      <c r="F163" t="s">
        <v>524</v>
      </c>
    </row>
    <row r="164" spans="1:6" x14ac:dyDescent="0.2">
      <c r="A164" t="str">
        <f t="shared" si="2"/>
        <v>catalog02_MZN</v>
      </c>
      <c r="B164" t="s">
        <v>525</v>
      </c>
      <c r="C164" t="s">
        <v>526</v>
      </c>
      <c r="E164" t="s">
        <v>527</v>
      </c>
      <c r="F164" t="s">
        <v>528</v>
      </c>
    </row>
    <row r="165" spans="1:6" x14ac:dyDescent="0.2">
      <c r="A165" t="str">
        <f t="shared" si="2"/>
        <v>catalog02_MMK</v>
      </c>
      <c r="B165" t="s">
        <v>529</v>
      </c>
      <c r="C165" t="s">
        <v>530</v>
      </c>
      <c r="E165" t="s">
        <v>531</v>
      </c>
      <c r="F165" t="s">
        <v>532</v>
      </c>
    </row>
    <row r="166" spans="1:6" x14ac:dyDescent="0.2">
      <c r="A166" t="str">
        <f t="shared" si="2"/>
        <v>catalog02_NAD</v>
      </c>
      <c r="B166" t="s">
        <v>533</v>
      </c>
      <c r="C166" t="s">
        <v>534</v>
      </c>
      <c r="E166" t="s">
        <v>535</v>
      </c>
      <c r="F166" t="s">
        <v>536</v>
      </c>
    </row>
    <row r="167" spans="1:6" x14ac:dyDescent="0.2">
      <c r="A167" t="str">
        <f t="shared" si="2"/>
        <v>catalog02_ZAR</v>
      </c>
      <c r="B167" t="s">
        <v>444</v>
      </c>
      <c r="C167" t="s">
        <v>445</v>
      </c>
      <c r="E167" t="s">
        <v>535</v>
      </c>
      <c r="F167" t="s">
        <v>446</v>
      </c>
    </row>
    <row r="168" spans="1:6" x14ac:dyDescent="0.2">
      <c r="A168" t="str">
        <f t="shared" si="2"/>
        <v>catalog02_AUD</v>
      </c>
      <c r="B168" t="s">
        <v>90</v>
      </c>
      <c r="C168" t="s">
        <v>91</v>
      </c>
      <c r="E168" t="s">
        <v>537</v>
      </c>
      <c r="F168" t="s">
        <v>93</v>
      </c>
    </row>
    <row r="169" spans="1:6" x14ac:dyDescent="0.2">
      <c r="A169" t="str">
        <f t="shared" si="2"/>
        <v>catalog02_NPR</v>
      </c>
      <c r="B169" t="s">
        <v>538</v>
      </c>
      <c r="C169" t="s">
        <v>539</v>
      </c>
      <c r="E169" t="s">
        <v>540</v>
      </c>
      <c r="F169" t="s">
        <v>541</v>
      </c>
    </row>
    <row r="170" spans="1:6" x14ac:dyDescent="0.2">
      <c r="A170" t="str">
        <f t="shared" si="2"/>
        <v>catalog02_EUR</v>
      </c>
      <c r="B170" t="s">
        <v>52</v>
      </c>
      <c r="C170" t="s">
        <v>53</v>
      </c>
      <c r="E170" t="s">
        <v>542</v>
      </c>
      <c r="F170" t="s">
        <v>55</v>
      </c>
    </row>
    <row r="171" spans="1:6" x14ac:dyDescent="0.2">
      <c r="A171" t="str">
        <f t="shared" si="2"/>
        <v>catalog02_XPF</v>
      </c>
      <c r="B171" t="s">
        <v>302</v>
      </c>
      <c r="C171" t="s">
        <v>303</v>
      </c>
      <c r="E171" t="s">
        <v>543</v>
      </c>
      <c r="F171" t="s">
        <v>305</v>
      </c>
    </row>
    <row r="172" spans="1:6" x14ac:dyDescent="0.2">
      <c r="A172" t="str">
        <f t="shared" si="2"/>
        <v>catalog02_NZD</v>
      </c>
      <c r="B172" t="s">
        <v>228</v>
      </c>
      <c r="C172" t="s">
        <v>229</v>
      </c>
      <c r="E172" t="s">
        <v>544</v>
      </c>
      <c r="F172" t="s">
        <v>231</v>
      </c>
    </row>
    <row r="173" spans="1:6" x14ac:dyDescent="0.2">
      <c r="A173" t="str">
        <f t="shared" si="2"/>
        <v>catalog02_NIO</v>
      </c>
      <c r="B173" t="s">
        <v>545</v>
      </c>
      <c r="C173" t="s">
        <v>546</v>
      </c>
      <c r="E173" t="s">
        <v>547</v>
      </c>
      <c r="F173" t="s">
        <v>548</v>
      </c>
    </row>
    <row r="174" spans="1:6" x14ac:dyDescent="0.2">
      <c r="A174" t="str">
        <f t="shared" si="2"/>
        <v>catalog02_XOF</v>
      </c>
      <c r="B174" t="s">
        <v>124</v>
      </c>
      <c r="C174" t="s">
        <v>125</v>
      </c>
      <c r="E174" t="s">
        <v>549</v>
      </c>
      <c r="F174" t="s">
        <v>127</v>
      </c>
    </row>
    <row r="175" spans="1:6" x14ac:dyDescent="0.2">
      <c r="A175" t="str">
        <f t="shared" si="2"/>
        <v>catalog02_NGN</v>
      </c>
      <c r="B175" t="s">
        <v>550</v>
      </c>
      <c r="C175" t="s">
        <v>551</v>
      </c>
      <c r="E175" t="s">
        <v>552</v>
      </c>
      <c r="F175" t="s">
        <v>553</v>
      </c>
    </row>
    <row r="176" spans="1:6" x14ac:dyDescent="0.2">
      <c r="A176" t="str">
        <f t="shared" si="2"/>
        <v>catalog02_NZD</v>
      </c>
      <c r="B176" t="s">
        <v>228</v>
      </c>
      <c r="C176" t="s">
        <v>229</v>
      </c>
      <c r="E176" t="s">
        <v>554</v>
      </c>
      <c r="F176" t="s">
        <v>231</v>
      </c>
    </row>
    <row r="177" spans="1:6" x14ac:dyDescent="0.2">
      <c r="A177" t="str">
        <f t="shared" si="2"/>
        <v>catalog02_AUD</v>
      </c>
      <c r="B177" t="s">
        <v>90</v>
      </c>
      <c r="C177" t="s">
        <v>91</v>
      </c>
      <c r="E177" t="s">
        <v>555</v>
      </c>
      <c r="F177" t="s">
        <v>93</v>
      </c>
    </row>
    <row r="178" spans="1:6" x14ac:dyDescent="0.2">
      <c r="A178" t="str">
        <f t="shared" si="2"/>
        <v>catalog02_USD</v>
      </c>
      <c r="B178" t="s">
        <v>64</v>
      </c>
      <c r="C178" t="s">
        <v>65</v>
      </c>
      <c r="E178" t="s">
        <v>556</v>
      </c>
      <c r="F178" t="s">
        <v>67</v>
      </c>
    </row>
    <row r="179" spans="1:6" x14ac:dyDescent="0.2">
      <c r="A179" t="str">
        <f t="shared" si="2"/>
        <v>catalog02_NOK</v>
      </c>
      <c r="B179" t="s">
        <v>155</v>
      </c>
      <c r="C179" t="s">
        <v>156</v>
      </c>
      <c r="E179" t="s">
        <v>557</v>
      </c>
      <c r="F179" t="s">
        <v>158</v>
      </c>
    </row>
    <row r="180" spans="1:6" x14ac:dyDescent="0.2">
      <c r="A180" t="str">
        <f t="shared" si="2"/>
        <v>catalog02_OMR</v>
      </c>
      <c r="B180" t="s">
        <v>558</v>
      </c>
      <c r="C180" t="s">
        <v>559</v>
      </c>
      <c r="E180" t="s">
        <v>560</v>
      </c>
      <c r="F180" t="s">
        <v>561</v>
      </c>
    </row>
    <row r="181" spans="1:6" x14ac:dyDescent="0.2">
      <c r="A181" t="str">
        <f t="shared" si="2"/>
        <v>catalog02_PKR</v>
      </c>
      <c r="B181" t="s">
        <v>562</v>
      </c>
      <c r="C181" t="s">
        <v>563</v>
      </c>
      <c r="E181" t="s">
        <v>564</v>
      </c>
      <c r="F181" t="s">
        <v>565</v>
      </c>
    </row>
    <row r="182" spans="1:6" x14ac:dyDescent="0.2">
      <c r="A182" t="str">
        <f t="shared" si="2"/>
        <v>catalog02_USD</v>
      </c>
      <c r="B182" t="s">
        <v>64</v>
      </c>
      <c r="C182" t="s">
        <v>65</v>
      </c>
      <c r="E182" t="s">
        <v>566</v>
      </c>
      <c r="F182" t="s">
        <v>67</v>
      </c>
    </row>
    <row r="183" spans="1:6" x14ac:dyDescent="0.2">
      <c r="A183" t="str">
        <f t="shared" si="2"/>
        <v>catalog02_PAB</v>
      </c>
      <c r="B183" t="s">
        <v>567</v>
      </c>
      <c r="C183" t="s">
        <v>568</v>
      </c>
      <c r="E183" t="s">
        <v>569</v>
      </c>
      <c r="F183" t="s">
        <v>570</v>
      </c>
    </row>
    <row r="184" spans="1:6" x14ac:dyDescent="0.2">
      <c r="A184" t="str">
        <f t="shared" si="2"/>
        <v>catalog02_USD</v>
      </c>
      <c r="B184" t="s">
        <v>64</v>
      </c>
      <c r="C184" t="s">
        <v>65</v>
      </c>
      <c r="E184" t="s">
        <v>569</v>
      </c>
      <c r="F184" t="s">
        <v>67</v>
      </c>
    </row>
    <row r="185" spans="1:6" x14ac:dyDescent="0.2">
      <c r="A185" t="str">
        <f t="shared" si="2"/>
        <v>catalog02_PGK</v>
      </c>
      <c r="B185" t="s">
        <v>571</v>
      </c>
      <c r="C185" t="s">
        <v>572</v>
      </c>
      <c r="E185" t="s">
        <v>573</v>
      </c>
      <c r="F185" t="s">
        <v>574</v>
      </c>
    </row>
    <row r="186" spans="1:6" x14ac:dyDescent="0.2">
      <c r="A186" t="str">
        <f t="shared" si="2"/>
        <v>catalog02_PYG</v>
      </c>
      <c r="B186" t="s">
        <v>575</v>
      </c>
      <c r="C186" t="s">
        <v>576</v>
      </c>
      <c r="E186" t="s">
        <v>577</v>
      </c>
      <c r="F186" t="s">
        <v>578</v>
      </c>
    </row>
    <row r="187" spans="1:6" x14ac:dyDescent="0.2">
      <c r="A187" t="str">
        <f t="shared" si="2"/>
        <v>catalog02_PEN</v>
      </c>
      <c r="B187" t="s">
        <v>579</v>
      </c>
      <c r="C187" t="s">
        <v>580</v>
      </c>
      <c r="E187" t="s">
        <v>581</v>
      </c>
      <c r="F187" t="s">
        <v>582</v>
      </c>
    </row>
    <row r="188" spans="1:6" x14ac:dyDescent="0.2">
      <c r="A188" t="str">
        <f t="shared" si="2"/>
        <v>catalog02_PHP</v>
      </c>
      <c r="B188" t="s">
        <v>583</v>
      </c>
      <c r="C188" t="s">
        <v>584</v>
      </c>
      <c r="E188" t="s">
        <v>585</v>
      </c>
      <c r="F188" t="s">
        <v>586</v>
      </c>
    </row>
    <row r="189" spans="1:6" x14ac:dyDescent="0.2">
      <c r="A189" t="str">
        <f t="shared" si="2"/>
        <v>catalog02_NZD</v>
      </c>
      <c r="B189" t="s">
        <v>228</v>
      </c>
      <c r="C189" t="s">
        <v>229</v>
      </c>
      <c r="E189" t="s">
        <v>587</v>
      </c>
      <c r="F189" t="s">
        <v>231</v>
      </c>
    </row>
    <row r="190" spans="1:6" x14ac:dyDescent="0.2">
      <c r="A190" t="str">
        <f t="shared" si="2"/>
        <v>catalog02_PLN</v>
      </c>
      <c r="B190" t="s">
        <v>588</v>
      </c>
      <c r="C190" t="s">
        <v>589</v>
      </c>
      <c r="E190" t="s">
        <v>590</v>
      </c>
      <c r="F190" t="s">
        <v>591</v>
      </c>
    </row>
    <row r="191" spans="1:6" x14ac:dyDescent="0.2">
      <c r="A191" t="str">
        <f t="shared" si="2"/>
        <v>catalog02_EUR</v>
      </c>
      <c r="B191" t="s">
        <v>52</v>
      </c>
      <c r="C191" t="s">
        <v>53</v>
      </c>
      <c r="E191" t="s">
        <v>592</v>
      </c>
      <c r="F191" t="s">
        <v>55</v>
      </c>
    </row>
    <row r="192" spans="1:6" x14ac:dyDescent="0.2">
      <c r="A192" t="str">
        <f t="shared" si="2"/>
        <v>catalog02_USD</v>
      </c>
      <c r="B192" t="s">
        <v>64</v>
      </c>
      <c r="C192" t="s">
        <v>65</v>
      </c>
      <c r="E192" t="s">
        <v>593</v>
      </c>
      <c r="F192" t="s">
        <v>67</v>
      </c>
    </row>
    <row r="193" spans="1:6" x14ac:dyDescent="0.2">
      <c r="A193" t="str">
        <f t="shared" si="2"/>
        <v>catalog02_QAR</v>
      </c>
      <c r="B193" t="s">
        <v>594</v>
      </c>
      <c r="C193" t="s">
        <v>595</v>
      </c>
      <c r="E193" t="s">
        <v>596</v>
      </c>
      <c r="F193" t="s">
        <v>597</v>
      </c>
    </row>
    <row r="194" spans="1:6" x14ac:dyDescent="0.2">
      <c r="A194" t="str">
        <f t="shared" ref="A194:A257" si="3">CONCATENATE("catalog02_",B194)</f>
        <v>catalog02_EUR</v>
      </c>
      <c r="B194" t="s">
        <v>52</v>
      </c>
      <c r="C194" t="s">
        <v>53</v>
      </c>
      <c r="E194" t="s">
        <v>598</v>
      </c>
      <c r="F194" t="s">
        <v>55</v>
      </c>
    </row>
    <row r="195" spans="1:6" x14ac:dyDescent="0.2">
      <c r="A195" t="str">
        <f t="shared" si="3"/>
        <v>catalog02_RON</v>
      </c>
      <c r="B195" t="s">
        <v>599</v>
      </c>
      <c r="C195" t="s">
        <v>600</v>
      </c>
      <c r="E195" t="s">
        <v>601</v>
      </c>
      <c r="F195" t="s">
        <v>602</v>
      </c>
    </row>
    <row r="196" spans="1:6" x14ac:dyDescent="0.2">
      <c r="A196" t="str">
        <f t="shared" si="3"/>
        <v>catalog02_RUB</v>
      </c>
      <c r="B196" t="s">
        <v>603</v>
      </c>
      <c r="C196" t="s">
        <v>604</v>
      </c>
      <c r="E196" t="s">
        <v>605</v>
      </c>
      <c r="F196" t="s">
        <v>606</v>
      </c>
    </row>
    <row r="197" spans="1:6" x14ac:dyDescent="0.2">
      <c r="A197" t="str">
        <f t="shared" si="3"/>
        <v>catalog02_RWF</v>
      </c>
      <c r="B197" t="s">
        <v>607</v>
      </c>
      <c r="C197" t="s">
        <v>608</v>
      </c>
      <c r="E197" t="s">
        <v>609</v>
      </c>
      <c r="F197" t="s">
        <v>610</v>
      </c>
    </row>
    <row r="198" spans="1:6" x14ac:dyDescent="0.2">
      <c r="A198" t="str">
        <f t="shared" si="3"/>
        <v>catalog02_EUR</v>
      </c>
      <c r="B198" t="s">
        <v>52</v>
      </c>
      <c r="C198" t="s">
        <v>53</v>
      </c>
      <c r="E198" t="s">
        <v>611</v>
      </c>
      <c r="F198" t="s">
        <v>55</v>
      </c>
    </row>
    <row r="199" spans="1:6" x14ac:dyDescent="0.2">
      <c r="A199" t="str">
        <f t="shared" si="3"/>
        <v>catalog02_SHP</v>
      </c>
      <c r="B199" t="s">
        <v>612</v>
      </c>
      <c r="C199" t="s">
        <v>613</v>
      </c>
      <c r="E199" t="s">
        <v>614</v>
      </c>
      <c r="F199" t="s">
        <v>615</v>
      </c>
    </row>
    <row r="200" spans="1:6" x14ac:dyDescent="0.2">
      <c r="A200" t="str">
        <f t="shared" si="3"/>
        <v>catalog02_XCD</v>
      </c>
      <c r="B200" t="s">
        <v>73</v>
      </c>
      <c r="C200" t="s">
        <v>74</v>
      </c>
      <c r="E200" t="s">
        <v>616</v>
      </c>
      <c r="F200" t="s">
        <v>76</v>
      </c>
    </row>
    <row r="201" spans="1:6" x14ac:dyDescent="0.2">
      <c r="A201" t="str">
        <f t="shared" si="3"/>
        <v>catalog02_XCD</v>
      </c>
      <c r="B201" t="s">
        <v>73</v>
      </c>
      <c r="C201" t="s">
        <v>74</v>
      </c>
      <c r="E201" t="s">
        <v>617</v>
      </c>
      <c r="F201" t="s">
        <v>76</v>
      </c>
    </row>
    <row r="202" spans="1:6" x14ac:dyDescent="0.2">
      <c r="A202" t="str">
        <f t="shared" si="3"/>
        <v>catalog02_EUR</v>
      </c>
      <c r="B202" t="s">
        <v>52</v>
      </c>
      <c r="C202" t="s">
        <v>53</v>
      </c>
      <c r="E202" t="s">
        <v>618</v>
      </c>
      <c r="F202" t="s">
        <v>55</v>
      </c>
    </row>
    <row r="203" spans="1:6" x14ac:dyDescent="0.2">
      <c r="A203" t="str">
        <f t="shared" si="3"/>
        <v>catalog02_EUR</v>
      </c>
      <c r="B203" t="s">
        <v>52</v>
      </c>
      <c r="C203" t="s">
        <v>53</v>
      </c>
      <c r="E203" t="s">
        <v>619</v>
      </c>
      <c r="F203" t="s">
        <v>55</v>
      </c>
    </row>
    <row r="204" spans="1:6" x14ac:dyDescent="0.2">
      <c r="A204" t="str">
        <f t="shared" si="3"/>
        <v>catalog02_XCD</v>
      </c>
      <c r="B204" t="s">
        <v>73</v>
      </c>
      <c r="C204" t="s">
        <v>74</v>
      </c>
      <c r="E204" t="s">
        <v>620</v>
      </c>
      <c r="F204" t="s">
        <v>76</v>
      </c>
    </row>
    <row r="205" spans="1:6" x14ac:dyDescent="0.2">
      <c r="A205" t="str">
        <f t="shared" si="3"/>
        <v>catalog02_WST</v>
      </c>
      <c r="B205" t="s">
        <v>621</v>
      </c>
      <c r="C205" t="s">
        <v>622</v>
      </c>
      <c r="E205" t="s">
        <v>623</v>
      </c>
      <c r="F205" t="s">
        <v>624</v>
      </c>
    </row>
    <row r="206" spans="1:6" x14ac:dyDescent="0.2">
      <c r="A206" t="str">
        <f t="shared" si="3"/>
        <v>catalog02_EUR</v>
      </c>
      <c r="B206" t="s">
        <v>52</v>
      </c>
      <c r="C206" t="s">
        <v>53</v>
      </c>
      <c r="E206" t="s">
        <v>625</v>
      </c>
      <c r="F206" t="s">
        <v>55</v>
      </c>
    </row>
    <row r="207" spans="1:6" x14ac:dyDescent="0.2">
      <c r="A207" t="str">
        <f t="shared" si="3"/>
        <v>catalog02_STN</v>
      </c>
      <c r="B207" t="s">
        <v>626</v>
      </c>
      <c r="C207" t="s">
        <v>627</v>
      </c>
      <c r="E207" t="s">
        <v>628</v>
      </c>
      <c r="F207" t="s">
        <v>629</v>
      </c>
    </row>
    <row r="208" spans="1:6" x14ac:dyDescent="0.2">
      <c r="A208" t="str">
        <f t="shared" si="3"/>
        <v>catalog02_SAR</v>
      </c>
      <c r="B208" t="s">
        <v>630</v>
      </c>
      <c r="C208" t="s">
        <v>631</v>
      </c>
      <c r="E208" t="s">
        <v>632</v>
      </c>
      <c r="F208" t="s">
        <v>633</v>
      </c>
    </row>
    <row r="209" spans="1:6" x14ac:dyDescent="0.2">
      <c r="A209" t="str">
        <f t="shared" si="3"/>
        <v>catalog02_XOF</v>
      </c>
      <c r="B209" t="s">
        <v>124</v>
      </c>
      <c r="C209" t="s">
        <v>125</v>
      </c>
      <c r="E209" t="s">
        <v>634</v>
      </c>
      <c r="F209" t="s">
        <v>127</v>
      </c>
    </row>
    <row r="210" spans="1:6" x14ac:dyDescent="0.2">
      <c r="A210" t="str">
        <f t="shared" si="3"/>
        <v>catalog02_RSD</v>
      </c>
      <c r="B210" t="s">
        <v>635</v>
      </c>
      <c r="C210" t="s">
        <v>636</v>
      </c>
      <c r="E210" t="s">
        <v>637</v>
      </c>
      <c r="F210" t="s">
        <v>638</v>
      </c>
    </row>
    <row r="211" spans="1:6" x14ac:dyDescent="0.2">
      <c r="A211" t="str">
        <f t="shared" si="3"/>
        <v>catalog02_SCR</v>
      </c>
      <c r="B211" t="s">
        <v>639</v>
      </c>
      <c r="C211" t="s">
        <v>640</v>
      </c>
      <c r="E211" t="s">
        <v>641</v>
      </c>
      <c r="F211" t="s">
        <v>642</v>
      </c>
    </row>
    <row r="212" spans="1:6" x14ac:dyDescent="0.2">
      <c r="A212" t="str">
        <f t="shared" si="3"/>
        <v>catalog02_SLL</v>
      </c>
      <c r="B212" t="s">
        <v>643</v>
      </c>
      <c r="C212" t="s">
        <v>644</v>
      </c>
      <c r="E212" t="s">
        <v>645</v>
      </c>
      <c r="F212" t="s">
        <v>646</v>
      </c>
    </row>
    <row r="213" spans="1:6" x14ac:dyDescent="0.2">
      <c r="A213" t="str">
        <f t="shared" si="3"/>
        <v>catalog02_SGD</v>
      </c>
      <c r="B213" t="s">
        <v>647</v>
      </c>
      <c r="C213" t="s">
        <v>648</v>
      </c>
      <c r="E213" t="s">
        <v>649</v>
      </c>
      <c r="F213" t="s">
        <v>650</v>
      </c>
    </row>
    <row r="214" spans="1:6" x14ac:dyDescent="0.2">
      <c r="A214" t="str">
        <f t="shared" si="3"/>
        <v>catalog02_ANG</v>
      </c>
      <c r="B214" t="s">
        <v>248</v>
      </c>
      <c r="C214" t="s">
        <v>249</v>
      </c>
      <c r="E214" t="s">
        <v>651</v>
      </c>
      <c r="F214" t="s">
        <v>251</v>
      </c>
    </row>
    <row r="215" spans="1:6" x14ac:dyDescent="0.2">
      <c r="A215" t="str">
        <f t="shared" si="3"/>
        <v>catalog02_XSU</v>
      </c>
      <c r="B215" t="s">
        <v>652</v>
      </c>
      <c r="C215" t="s">
        <v>653</v>
      </c>
      <c r="E215" t="s">
        <v>654</v>
      </c>
      <c r="F215" t="s">
        <v>655</v>
      </c>
    </row>
    <row r="216" spans="1:6" x14ac:dyDescent="0.2">
      <c r="A216" t="str">
        <f t="shared" si="3"/>
        <v>catalog02_EUR</v>
      </c>
      <c r="B216" t="s">
        <v>52</v>
      </c>
      <c r="C216" t="s">
        <v>53</v>
      </c>
      <c r="E216" t="s">
        <v>656</v>
      </c>
      <c r="F216" t="s">
        <v>55</v>
      </c>
    </row>
    <row r="217" spans="1:6" x14ac:dyDescent="0.2">
      <c r="A217" t="str">
        <f t="shared" si="3"/>
        <v>catalog02_EUR</v>
      </c>
      <c r="B217" t="s">
        <v>52</v>
      </c>
      <c r="C217" t="s">
        <v>53</v>
      </c>
      <c r="E217" t="s">
        <v>657</v>
      </c>
      <c r="F217" t="s">
        <v>55</v>
      </c>
    </row>
    <row r="218" spans="1:6" x14ac:dyDescent="0.2">
      <c r="A218" t="str">
        <f t="shared" si="3"/>
        <v>catalog02_SBD</v>
      </c>
      <c r="B218" t="s">
        <v>658</v>
      </c>
      <c r="C218" t="s">
        <v>659</v>
      </c>
      <c r="E218" t="s">
        <v>660</v>
      </c>
      <c r="F218" t="s">
        <v>661</v>
      </c>
    </row>
    <row r="219" spans="1:6" x14ac:dyDescent="0.2">
      <c r="A219" t="str">
        <f t="shared" si="3"/>
        <v>catalog02_SOS</v>
      </c>
      <c r="B219" t="s">
        <v>662</v>
      </c>
      <c r="C219" t="s">
        <v>663</v>
      </c>
      <c r="E219" t="s">
        <v>664</v>
      </c>
      <c r="F219" t="s">
        <v>665</v>
      </c>
    </row>
    <row r="220" spans="1:6" x14ac:dyDescent="0.2">
      <c r="A220" t="str">
        <f t="shared" si="3"/>
        <v>catalog02_ZAR</v>
      </c>
      <c r="B220" t="s">
        <v>444</v>
      </c>
      <c r="C220" t="s">
        <v>445</v>
      </c>
      <c r="E220" t="s">
        <v>666</v>
      </c>
      <c r="F220" t="s">
        <v>446</v>
      </c>
    </row>
    <row r="221" spans="1:6" x14ac:dyDescent="0.2">
      <c r="A221" t="str">
        <f t="shared" si="3"/>
        <v>catalog02_SSP</v>
      </c>
      <c r="B221" t="s">
        <v>667</v>
      </c>
      <c r="C221" t="s">
        <v>668</v>
      </c>
      <c r="E221" t="s">
        <v>669</v>
      </c>
      <c r="F221" t="s">
        <v>670</v>
      </c>
    </row>
    <row r="222" spans="1:6" x14ac:dyDescent="0.2">
      <c r="A222" t="str">
        <f t="shared" si="3"/>
        <v>catalog02_EUR</v>
      </c>
      <c r="B222" t="s">
        <v>52</v>
      </c>
      <c r="C222" t="s">
        <v>53</v>
      </c>
      <c r="E222" t="s">
        <v>671</v>
      </c>
      <c r="F222" t="s">
        <v>55</v>
      </c>
    </row>
    <row r="223" spans="1:6" x14ac:dyDescent="0.2">
      <c r="A223" t="str">
        <f t="shared" si="3"/>
        <v>catalog02_LKR</v>
      </c>
      <c r="B223" t="s">
        <v>672</v>
      </c>
      <c r="C223" t="s">
        <v>673</v>
      </c>
      <c r="E223" t="s">
        <v>674</v>
      </c>
      <c r="F223" t="s">
        <v>675</v>
      </c>
    </row>
    <row r="224" spans="1:6" x14ac:dyDescent="0.2">
      <c r="A224" t="str">
        <f t="shared" si="3"/>
        <v>catalog02_SDG</v>
      </c>
      <c r="B224" t="s">
        <v>676</v>
      </c>
      <c r="C224" t="s">
        <v>677</v>
      </c>
      <c r="E224" t="s">
        <v>678</v>
      </c>
      <c r="F224" t="s">
        <v>679</v>
      </c>
    </row>
    <row r="225" spans="1:6" x14ac:dyDescent="0.2">
      <c r="A225" t="str">
        <f t="shared" si="3"/>
        <v>catalog02_SRD</v>
      </c>
      <c r="B225" t="s">
        <v>680</v>
      </c>
      <c r="C225" t="s">
        <v>681</v>
      </c>
      <c r="E225" t="s">
        <v>682</v>
      </c>
      <c r="F225" t="s">
        <v>683</v>
      </c>
    </row>
    <row r="226" spans="1:6" x14ac:dyDescent="0.2">
      <c r="A226" t="str">
        <f t="shared" si="3"/>
        <v>catalog02_NOK</v>
      </c>
      <c r="B226" t="s">
        <v>155</v>
      </c>
      <c r="C226" t="s">
        <v>156</v>
      </c>
      <c r="E226" t="s">
        <v>684</v>
      </c>
      <c r="F226" t="s">
        <v>158</v>
      </c>
    </row>
    <row r="227" spans="1:6" x14ac:dyDescent="0.2">
      <c r="A227" t="str">
        <f t="shared" si="3"/>
        <v>catalog02_SZL</v>
      </c>
      <c r="B227" t="s">
        <v>685</v>
      </c>
      <c r="C227" t="s">
        <v>686</v>
      </c>
      <c r="E227" t="s">
        <v>687</v>
      </c>
      <c r="F227" t="s">
        <v>688</v>
      </c>
    </row>
    <row r="228" spans="1:6" x14ac:dyDescent="0.2">
      <c r="A228" t="str">
        <f t="shared" si="3"/>
        <v>catalog02_SEK</v>
      </c>
      <c r="B228" t="s">
        <v>689</v>
      </c>
      <c r="C228" t="s">
        <v>690</v>
      </c>
      <c r="E228" t="s">
        <v>691</v>
      </c>
      <c r="F228" t="s">
        <v>692</v>
      </c>
    </row>
    <row r="229" spans="1:6" x14ac:dyDescent="0.2">
      <c r="A229" t="str">
        <f t="shared" si="3"/>
        <v>catalog02_CHF</v>
      </c>
      <c r="B229" t="s">
        <v>455</v>
      </c>
      <c r="C229" t="s">
        <v>456</v>
      </c>
      <c r="E229" t="s">
        <v>693</v>
      </c>
      <c r="F229" t="s">
        <v>458</v>
      </c>
    </row>
    <row r="230" spans="1:6" x14ac:dyDescent="0.2">
      <c r="A230" t="str">
        <f t="shared" si="3"/>
        <v>catalog02_CHE</v>
      </c>
      <c r="B230" t="s">
        <v>694</v>
      </c>
      <c r="C230" t="s">
        <v>695</v>
      </c>
      <c r="E230" t="s">
        <v>693</v>
      </c>
      <c r="F230" t="s">
        <v>696</v>
      </c>
    </row>
    <row r="231" spans="1:6" x14ac:dyDescent="0.2">
      <c r="A231" t="str">
        <f t="shared" si="3"/>
        <v>catalog02_CHW</v>
      </c>
      <c r="B231" t="s">
        <v>697</v>
      </c>
      <c r="C231" t="s">
        <v>698</v>
      </c>
      <c r="E231" t="s">
        <v>693</v>
      </c>
      <c r="F231" t="s">
        <v>699</v>
      </c>
    </row>
    <row r="232" spans="1:6" x14ac:dyDescent="0.2">
      <c r="A232" t="str">
        <f t="shared" si="3"/>
        <v>catalog02_SYP</v>
      </c>
      <c r="B232" t="s">
        <v>700</v>
      </c>
      <c r="C232" t="s">
        <v>701</v>
      </c>
      <c r="E232" t="s">
        <v>702</v>
      </c>
      <c r="F232" t="s">
        <v>703</v>
      </c>
    </row>
    <row r="233" spans="1:6" x14ac:dyDescent="0.2">
      <c r="A233" t="str">
        <f t="shared" si="3"/>
        <v>catalog02_TWD</v>
      </c>
      <c r="B233" t="s">
        <v>704</v>
      </c>
      <c r="C233" t="s">
        <v>705</v>
      </c>
      <c r="E233" t="s">
        <v>706</v>
      </c>
      <c r="F233" t="s">
        <v>707</v>
      </c>
    </row>
    <row r="234" spans="1:6" x14ac:dyDescent="0.2">
      <c r="A234" t="str">
        <f t="shared" si="3"/>
        <v>catalog02_TJS</v>
      </c>
      <c r="B234" t="s">
        <v>708</v>
      </c>
      <c r="C234" t="s">
        <v>709</v>
      </c>
      <c r="E234" t="s">
        <v>710</v>
      </c>
      <c r="F234" t="s">
        <v>711</v>
      </c>
    </row>
    <row r="235" spans="1:6" x14ac:dyDescent="0.2">
      <c r="A235" t="str">
        <f t="shared" si="3"/>
        <v>catalog02_TZS</v>
      </c>
      <c r="B235" t="s">
        <v>712</v>
      </c>
      <c r="C235" t="s">
        <v>713</v>
      </c>
      <c r="E235" t="s">
        <v>714</v>
      </c>
      <c r="F235" t="s">
        <v>715</v>
      </c>
    </row>
    <row r="236" spans="1:6" x14ac:dyDescent="0.2">
      <c r="A236" t="str">
        <f t="shared" si="3"/>
        <v>catalog02_THB</v>
      </c>
      <c r="B236" t="s">
        <v>716</v>
      </c>
      <c r="C236" t="s">
        <v>717</v>
      </c>
      <c r="E236" t="s">
        <v>718</v>
      </c>
      <c r="F236" t="s">
        <v>719</v>
      </c>
    </row>
    <row r="237" spans="1:6" x14ac:dyDescent="0.2">
      <c r="A237" t="str">
        <f t="shared" si="3"/>
        <v>catalog02_USD</v>
      </c>
      <c r="B237" t="s">
        <v>64</v>
      </c>
      <c r="C237" t="s">
        <v>65</v>
      </c>
      <c r="E237" t="s">
        <v>720</v>
      </c>
      <c r="F237" t="s">
        <v>67</v>
      </c>
    </row>
    <row r="238" spans="1:6" x14ac:dyDescent="0.2">
      <c r="A238" t="str">
        <f t="shared" si="3"/>
        <v>catalog02_XOF</v>
      </c>
      <c r="B238" t="s">
        <v>124</v>
      </c>
      <c r="C238" t="s">
        <v>125</v>
      </c>
      <c r="E238" t="s">
        <v>721</v>
      </c>
      <c r="F238" t="s">
        <v>127</v>
      </c>
    </row>
    <row r="239" spans="1:6" x14ac:dyDescent="0.2">
      <c r="A239" t="str">
        <f t="shared" si="3"/>
        <v>catalog02_NZD</v>
      </c>
      <c r="B239" t="s">
        <v>228</v>
      </c>
      <c r="C239" t="s">
        <v>229</v>
      </c>
      <c r="E239" t="s">
        <v>722</v>
      </c>
      <c r="F239" t="s">
        <v>231</v>
      </c>
    </row>
    <row r="240" spans="1:6" x14ac:dyDescent="0.2">
      <c r="A240" t="str">
        <f t="shared" si="3"/>
        <v>catalog02_TOP</v>
      </c>
      <c r="B240" t="s">
        <v>723</v>
      </c>
      <c r="C240" t="s">
        <v>724</v>
      </c>
      <c r="E240" t="s">
        <v>725</v>
      </c>
      <c r="F240" t="s">
        <v>726</v>
      </c>
    </row>
    <row r="241" spans="1:6" x14ac:dyDescent="0.2">
      <c r="A241" t="str">
        <f t="shared" si="3"/>
        <v>catalog02_TTD</v>
      </c>
      <c r="B241" t="s">
        <v>727</v>
      </c>
      <c r="C241" t="s">
        <v>728</v>
      </c>
      <c r="E241" t="s">
        <v>729</v>
      </c>
      <c r="F241" t="s">
        <v>730</v>
      </c>
    </row>
    <row r="242" spans="1:6" x14ac:dyDescent="0.2">
      <c r="A242" t="str">
        <f t="shared" si="3"/>
        <v>catalog02_TND</v>
      </c>
      <c r="B242" t="s">
        <v>731</v>
      </c>
      <c r="C242" t="s">
        <v>732</v>
      </c>
      <c r="E242" t="s">
        <v>733</v>
      </c>
      <c r="F242" t="s">
        <v>734</v>
      </c>
    </row>
    <row r="243" spans="1:6" x14ac:dyDescent="0.2">
      <c r="A243" t="str">
        <f t="shared" si="3"/>
        <v>catalog02_TRY</v>
      </c>
      <c r="B243" t="s">
        <v>735</v>
      </c>
      <c r="C243" t="s">
        <v>736</v>
      </c>
      <c r="E243" t="s">
        <v>737</v>
      </c>
      <c r="F243" t="s">
        <v>738</v>
      </c>
    </row>
    <row r="244" spans="1:6" x14ac:dyDescent="0.2">
      <c r="A244" t="str">
        <f t="shared" si="3"/>
        <v>catalog02_TMT</v>
      </c>
      <c r="B244" t="s">
        <v>739</v>
      </c>
      <c r="C244" t="s">
        <v>740</v>
      </c>
      <c r="E244" t="s">
        <v>741</v>
      </c>
      <c r="F244" t="s">
        <v>742</v>
      </c>
    </row>
    <row r="245" spans="1:6" x14ac:dyDescent="0.2">
      <c r="A245" t="str">
        <f t="shared" si="3"/>
        <v>catalog02_USD</v>
      </c>
      <c r="B245" t="s">
        <v>64</v>
      </c>
      <c r="C245" t="s">
        <v>65</v>
      </c>
      <c r="E245" t="s">
        <v>743</v>
      </c>
      <c r="F245" t="s">
        <v>67</v>
      </c>
    </row>
    <row r="246" spans="1:6" x14ac:dyDescent="0.2">
      <c r="A246" t="str">
        <f t="shared" si="3"/>
        <v>catalog02_AUD</v>
      </c>
      <c r="B246" t="s">
        <v>90</v>
      </c>
      <c r="C246" t="s">
        <v>91</v>
      </c>
      <c r="E246" t="s">
        <v>744</v>
      </c>
      <c r="F246" t="s">
        <v>93</v>
      </c>
    </row>
    <row r="247" spans="1:6" x14ac:dyDescent="0.2">
      <c r="A247" t="str">
        <f t="shared" si="3"/>
        <v>catalog02_UGX</v>
      </c>
      <c r="B247" t="s">
        <v>745</v>
      </c>
      <c r="C247" t="s">
        <v>746</v>
      </c>
      <c r="E247" t="s">
        <v>747</v>
      </c>
      <c r="F247" t="s">
        <v>748</v>
      </c>
    </row>
    <row r="248" spans="1:6" x14ac:dyDescent="0.2">
      <c r="A248" t="str">
        <f t="shared" si="3"/>
        <v>catalog02_UAH</v>
      </c>
      <c r="B248" t="s">
        <v>749</v>
      </c>
      <c r="C248" t="s">
        <v>750</v>
      </c>
      <c r="E248" t="s">
        <v>751</v>
      </c>
      <c r="F248" t="s">
        <v>752</v>
      </c>
    </row>
    <row r="249" spans="1:6" x14ac:dyDescent="0.2">
      <c r="A249" t="str">
        <f t="shared" si="3"/>
        <v>catalog02_AED</v>
      </c>
      <c r="B249" t="s">
        <v>753</v>
      </c>
      <c r="C249" t="s">
        <v>754</v>
      </c>
      <c r="E249" t="s">
        <v>755</v>
      </c>
      <c r="F249" t="s">
        <v>756</v>
      </c>
    </row>
    <row r="250" spans="1:6" x14ac:dyDescent="0.2">
      <c r="A250" t="str">
        <f t="shared" si="3"/>
        <v>catalog02_GBP</v>
      </c>
      <c r="B250" t="s">
        <v>334</v>
      </c>
      <c r="C250" t="s">
        <v>335</v>
      </c>
      <c r="E250" t="s">
        <v>757</v>
      </c>
      <c r="F250" t="s">
        <v>337</v>
      </c>
    </row>
    <row r="251" spans="1:6" x14ac:dyDescent="0.2">
      <c r="A251" t="str">
        <f t="shared" si="3"/>
        <v>catalog02_USD</v>
      </c>
      <c r="B251" t="s">
        <v>64</v>
      </c>
      <c r="C251" t="s">
        <v>65</v>
      </c>
      <c r="E251" t="s">
        <v>758</v>
      </c>
      <c r="F251" t="s">
        <v>67</v>
      </c>
    </row>
    <row r="252" spans="1:6" x14ac:dyDescent="0.2">
      <c r="A252" t="str">
        <f t="shared" si="3"/>
        <v>catalog02_USD</v>
      </c>
      <c r="B252" t="s">
        <v>64</v>
      </c>
      <c r="C252" t="s">
        <v>65</v>
      </c>
      <c r="E252" t="s">
        <v>759</v>
      </c>
      <c r="F252" t="s">
        <v>67</v>
      </c>
    </row>
    <row r="253" spans="1:6" x14ac:dyDescent="0.2">
      <c r="A253" t="str">
        <f t="shared" si="3"/>
        <v>catalog02_USN</v>
      </c>
      <c r="B253" t="s">
        <v>760</v>
      </c>
      <c r="C253" t="s">
        <v>761</v>
      </c>
      <c r="E253" t="s">
        <v>759</v>
      </c>
      <c r="F253" t="s">
        <v>762</v>
      </c>
    </row>
    <row r="254" spans="1:6" x14ac:dyDescent="0.2">
      <c r="A254" t="str">
        <f t="shared" si="3"/>
        <v>catalog02_UYU</v>
      </c>
      <c r="B254" t="s">
        <v>763</v>
      </c>
      <c r="C254" t="s">
        <v>764</v>
      </c>
      <c r="E254" t="s">
        <v>765</v>
      </c>
      <c r="F254" t="s">
        <v>766</v>
      </c>
    </row>
    <row r="255" spans="1:6" x14ac:dyDescent="0.2">
      <c r="A255" t="str">
        <f t="shared" si="3"/>
        <v>catalog02_UYI</v>
      </c>
      <c r="B255" t="s">
        <v>767</v>
      </c>
      <c r="C255" t="s">
        <v>768</v>
      </c>
      <c r="E255" t="s">
        <v>765</v>
      </c>
      <c r="F255" t="s">
        <v>769</v>
      </c>
    </row>
    <row r="256" spans="1:6" x14ac:dyDescent="0.2">
      <c r="A256" t="str">
        <f t="shared" si="3"/>
        <v>catalog02_UYW</v>
      </c>
      <c r="B256" t="s">
        <v>770</v>
      </c>
      <c r="C256" t="s">
        <v>771</v>
      </c>
      <c r="E256" t="s">
        <v>765</v>
      </c>
      <c r="F256" t="s">
        <v>772</v>
      </c>
    </row>
    <row r="257" spans="1:6" x14ac:dyDescent="0.2">
      <c r="A257" t="str">
        <f t="shared" si="3"/>
        <v>catalog02_UZS</v>
      </c>
      <c r="B257" t="s">
        <v>773</v>
      </c>
      <c r="C257" t="s">
        <v>774</v>
      </c>
      <c r="E257" t="s">
        <v>775</v>
      </c>
      <c r="F257" t="s">
        <v>776</v>
      </c>
    </row>
    <row r="258" spans="1:6" x14ac:dyDescent="0.2">
      <c r="A258" t="str">
        <f t="shared" ref="A258:A321" si="4">CONCATENATE("catalog02_",B258)</f>
        <v>catalog02_VUV</v>
      </c>
      <c r="B258" t="s">
        <v>777</v>
      </c>
      <c r="C258" t="s">
        <v>778</v>
      </c>
      <c r="E258" t="s">
        <v>779</v>
      </c>
      <c r="F258" t="s">
        <v>780</v>
      </c>
    </row>
    <row r="259" spans="1:6" x14ac:dyDescent="0.2">
      <c r="A259" t="str">
        <f t="shared" si="4"/>
        <v>catalog02_VES</v>
      </c>
      <c r="B259" t="s">
        <v>781</v>
      </c>
      <c r="C259" t="s">
        <v>782</v>
      </c>
      <c r="E259" t="s">
        <v>783</v>
      </c>
      <c r="F259" t="s">
        <v>784</v>
      </c>
    </row>
    <row r="260" spans="1:6" x14ac:dyDescent="0.2">
      <c r="A260" t="str">
        <f t="shared" si="4"/>
        <v>catalog02_VND</v>
      </c>
      <c r="B260" t="s">
        <v>785</v>
      </c>
      <c r="C260" t="s">
        <v>786</v>
      </c>
      <c r="E260" t="s">
        <v>787</v>
      </c>
      <c r="F260" t="s">
        <v>788</v>
      </c>
    </row>
    <row r="261" spans="1:6" x14ac:dyDescent="0.2">
      <c r="A261" t="str">
        <f t="shared" si="4"/>
        <v>catalog02_USD</v>
      </c>
      <c r="B261" t="s">
        <v>64</v>
      </c>
      <c r="C261" t="s">
        <v>65</v>
      </c>
      <c r="E261" t="s">
        <v>789</v>
      </c>
      <c r="F261" t="s">
        <v>67</v>
      </c>
    </row>
    <row r="262" spans="1:6" x14ac:dyDescent="0.2">
      <c r="A262" t="str">
        <f t="shared" si="4"/>
        <v>catalog02_USD</v>
      </c>
      <c r="B262" t="s">
        <v>64</v>
      </c>
      <c r="C262" t="s">
        <v>65</v>
      </c>
      <c r="E262" t="s">
        <v>790</v>
      </c>
      <c r="F262" t="s">
        <v>67</v>
      </c>
    </row>
    <row r="263" spans="1:6" x14ac:dyDescent="0.2">
      <c r="A263" t="str">
        <f t="shared" si="4"/>
        <v>catalog02_XPF</v>
      </c>
      <c r="B263" t="s">
        <v>302</v>
      </c>
      <c r="C263" t="s">
        <v>303</v>
      </c>
      <c r="E263" t="s">
        <v>791</v>
      </c>
      <c r="F263" t="s">
        <v>305</v>
      </c>
    </row>
    <row r="264" spans="1:6" x14ac:dyDescent="0.2">
      <c r="A264" t="str">
        <f t="shared" si="4"/>
        <v>catalog02_MAD</v>
      </c>
      <c r="B264" t="s">
        <v>521</v>
      </c>
      <c r="C264" t="s">
        <v>522</v>
      </c>
      <c r="E264" t="s">
        <v>792</v>
      </c>
      <c r="F264" t="s">
        <v>524</v>
      </c>
    </row>
    <row r="265" spans="1:6" x14ac:dyDescent="0.2">
      <c r="A265" t="str">
        <f t="shared" si="4"/>
        <v>catalog02_YER</v>
      </c>
      <c r="B265" t="s">
        <v>793</v>
      </c>
      <c r="C265" t="s">
        <v>794</v>
      </c>
      <c r="E265" t="s">
        <v>795</v>
      </c>
      <c r="F265" t="s">
        <v>796</v>
      </c>
    </row>
    <row r="266" spans="1:6" x14ac:dyDescent="0.2">
      <c r="A266" t="str">
        <f t="shared" si="4"/>
        <v>catalog02_ZMW</v>
      </c>
      <c r="B266" t="s">
        <v>797</v>
      </c>
      <c r="C266" t="s">
        <v>798</v>
      </c>
      <c r="E266" t="s">
        <v>799</v>
      </c>
      <c r="F266" t="s">
        <v>800</v>
      </c>
    </row>
    <row r="267" spans="1:6" x14ac:dyDescent="0.2">
      <c r="A267" t="str">
        <f t="shared" si="4"/>
        <v>catalog02_ZWL</v>
      </c>
      <c r="B267" t="s">
        <v>801</v>
      </c>
      <c r="C267" t="s">
        <v>802</v>
      </c>
      <c r="E267" t="s">
        <v>803</v>
      </c>
      <c r="F267" t="s">
        <v>804</v>
      </c>
    </row>
    <row r="268" spans="1:6" x14ac:dyDescent="0.2">
      <c r="A268" t="str">
        <f t="shared" si="4"/>
        <v>catalog02_XBA</v>
      </c>
      <c r="B268" t="s">
        <v>805</v>
      </c>
      <c r="C268" t="s">
        <v>806</v>
      </c>
      <c r="E268" t="s">
        <v>807</v>
      </c>
      <c r="F268" t="s">
        <v>808</v>
      </c>
    </row>
    <row r="269" spans="1:6" x14ac:dyDescent="0.2">
      <c r="A269" t="str">
        <f t="shared" si="4"/>
        <v>catalog02_XBB</v>
      </c>
      <c r="B269" t="s">
        <v>809</v>
      </c>
      <c r="C269" t="s">
        <v>810</v>
      </c>
      <c r="E269" t="s">
        <v>811</v>
      </c>
      <c r="F269" t="s">
        <v>812</v>
      </c>
    </row>
    <row r="270" spans="1:6" x14ac:dyDescent="0.2">
      <c r="A270" t="str">
        <f t="shared" si="4"/>
        <v>catalog02_XBC</v>
      </c>
      <c r="B270" t="s">
        <v>813</v>
      </c>
      <c r="C270" t="s">
        <v>814</v>
      </c>
      <c r="E270" t="s">
        <v>815</v>
      </c>
      <c r="F270" t="s">
        <v>816</v>
      </c>
    </row>
    <row r="271" spans="1:6" x14ac:dyDescent="0.2">
      <c r="A271" t="str">
        <f t="shared" si="4"/>
        <v>catalog02_XBD</v>
      </c>
      <c r="B271" t="s">
        <v>817</v>
      </c>
      <c r="C271" t="s">
        <v>818</v>
      </c>
      <c r="E271" t="s">
        <v>819</v>
      </c>
      <c r="F271" t="s">
        <v>820</v>
      </c>
    </row>
    <row r="272" spans="1:6" x14ac:dyDescent="0.2">
      <c r="A272" t="str">
        <f t="shared" si="4"/>
        <v>catalog02_XTS</v>
      </c>
      <c r="B272" t="s">
        <v>821</v>
      </c>
      <c r="C272" t="s">
        <v>822</v>
      </c>
      <c r="E272" t="s">
        <v>823</v>
      </c>
      <c r="F272" t="s">
        <v>824</v>
      </c>
    </row>
    <row r="273" spans="1:6" x14ac:dyDescent="0.2">
      <c r="A273" t="str">
        <f t="shared" si="4"/>
        <v>catalog02_XXX</v>
      </c>
      <c r="B273" t="s">
        <v>825</v>
      </c>
      <c r="C273" t="s">
        <v>826</v>
      </c>
      <c r="E273" t="s">
        <v>827</v>
      </c>
      <c r="F273" t="s">
        <v>828</v>
      </c>
    </row>
    <row r="274" spans="1:6" x14ac:dyDescent="0.2">
      <c r="A274" t="str">
        <f t="shared" si="4"/>
        <v>catalog02_XAU</v>
      </c>
      <c r="B274" t="s">
        <v>829</v>
      </c>
      <c r="C274" t="s">
        <v>830</v>
      </c>
      <c r="E274" t="s">
        <v>831</v>
      </c>
      <c r="F274" t="s">
        <v>832</v>
      </c>
    </row>
    <row r="275" spans="1:6" x14ac:dyDescent="0.2">
      <c r="A275" t="str">
        <f t="shared" si="4"/>
        <v>catalog02_XPD</v>
      </c>
      <c r="B275" t="s">
        <v>833</v>
      </c>
      <c r="C275" t="s">
        <v>834</v>
      </c>
      <c r="E275" t="s">
        <v>835</v>
      </c>
      <c r="F275" t="s">
        <v>836</v>
      </c>
    </row>
    <row r="276" spans="1:6" x14ac:dyDescent="0.2">
      <c r="A276" t="str">
        <f t="shared" si="4"/>
        <v>catalog02_XPT</v>
      </c>
      <c r="B276" t="s">
        <v>837</v>
      </c>
      <c r="C276" t="s">
        <v>838</v>
      </c>
      <c r="E276" t="s">
        <v>839</v>
      </c>
      <c r="F276" t="s">
        <v>840</v>
      </c>
    </row>
    <row r="277" spans="1:6" x14ac:dyDescent="0.2">
      <c r="A277" t="str">
        <f t="shared" si="4"/>
        <v>catalog02_XAG</v>
      </c>
      <c r="B277" t="s">
        <v>841</v>
      </c>
      <c r="C277" t="s">
        <v>842</v>
      </c>
      <c r="E277" t="s">
        <v>843</v>
      </c>
      <c r="F277" t="s">
        <v>844</v>
      </c>
    </row>
  </sheetData>
  <autoFilter ref="A1:F277" xr:uid="{00000000-0009-0000-0000-000001000000}"/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Roman,Normal"&amp;12&amp;A</oddHeader>
    <oddFooter>&amp;C&amp;"Times New Roman,Normal"&amp;12Página &amp;P</oddFooter>
  </headerFooter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63"/>
  <sheetViews>
    <sheetView zoomScale="120" zoomScaleNormal="120" workbookViewId="0">
      <selection activeCell="A2" sqref="A2"/>
    </sheetView>
  </sheetViews>
  <sheetFormatPr baseColWidth="10" defaultColWidth="11.85546875" defaultRowHeight="12.75" x14ac:dyDescent="0.2"/>
  <sheetData>
    <row r="1" spans="1:4" x14ac:dyDescent="0.2">
      <c r="A1" t="s">
        <v>0</v>
      </c>
      <c r="B1" t="s">
        <v>1</v>
      </c>
      <c r="C1" t="s">
        <v>2</v>
      </c>
      <c r="D1" s="1" t="s">
        <v>3</v>
      </c>
    </row>
    <row r="2" spans="1:4" x14ac:dyDescent="0.2">
      <c r="A2" t="str">
        <f t="shared" ref="A2:A33" si="0">CONCATENATE("catalog03_",B2)</f>
        <v>catalog03_4A</v>
      </c>
      <c r="B2" t="s">
        <v>845</v>
      </c>
      <c r="C2" t="s">
        <v>846</v>
      </c>
    </row>
    <row r="3" spans="1:4" x14ac:dyDescent="0.2">
      <c r="A3" t="str">
        <f t="shared" si="0"/>
        <v>catalog03_BJ</v>
      </c>
      <c r="B3" t="s">
        <v>847</v>
      </c>
      <c r="C3" t="s">
        <v>848</v>
      </c>
    </row>
    <row r="4" spans="1:4" x14ac:dyDescent="0.2">
      <c r="A4" t="str">
        <f t="shared" si="0"/>
        <v>catalog03_BLL</v>
      </c>
      <c r="B4" t="s">
        <v>849</v>
      </c>
      <c r="C4" t="s">
        <v>850</v>
      </c>
    </row>
    <row r="5" spans="1:4" x14ac:dyDescent="0.2">
      <c r="A5" t="str">
        <f t="shared" si="0"/>
        <v>catalog03_BG</v>
      </c>
      <c r="B5" t="s">
        <v>851</v>
      </c>
      <c r="C5" t="s">
        <v>852</v>
      </c>
    </row>
    <row r="6" spans="1:4" x14ac:dyDescent="0.2">
      <c r="A6" t="str">
        <f t="shared" si="0"/>
        <v>catalog03_BO</v>
      </c>
      <c r="B6" t="s">
        <v>853</v>
      </c>
      <c r="C6" t="s">
        <v>854</v>
      </c>
    </row>
    <row r="7" spans="1:4" x14ac:dyDescent="0.2">
      <c r="A7" t="str">
        <f t="shared" si="0"/>
        <v>catalog03_BX</v>
      </c>
      <c r="B7" t="s">
        <v>855</v>
      </c>
      <c r="C7" t="s">
        <v>856</v>
      </c>
    </row>
    <row r="8" spans="1:4" x14ac:dyDescent="0.2">
      <c r="A8" t="str">
        <f t="shared" si="0"/>
        <v>catalog03_CT</v>
      </c>
      <c r="B8" t="s">
        <v>857</v>
      </c>
      <c r="C8" t="s">
        <v>858</v>
      </c>
    </row>
    <row r="9" spans="1:4" x14ac:dyDescent="0.2">
      <c r="A9" t="str">
        <f t="shared" si="0"/>
        <v>catalog03_CMK</v>
      </c>
      <c r="B9" t="s">
        <v>859</v>
      </c>
      <c r="C9" t="s">
        <v>860</v>
      </c>
    </row>
    <row r="10" spans="1:4" x14ac:dyDescent="0.2">
      <c r="A10" t="str">
        <f t="shared" si="0"/>
        <v>catalog03_CMQ</v>
      </c>
      <c r="B10" t="s">
        <v>861</v>
      </c>
      <c r="C10" t="s">
        <v>862</v>
      </c>
    </row>
    <row r="11" spans="1:4" x14ac:dyDescent="0.2">
      <c r="A11" t="str">
        <f t="shared" si="0"/>
        <v>catalog03_CMT</v>
      </c>
      <c r="B11" t="s">
        <v>863</v>
      </c>
      <c r="C11" t="s">
        <v>864</v>
      </c>
    </row>
    <row r="12" spans="1:4" x14ac:dyDescent="0.2">
      <c r="A12" t="str">
        <f t="shared" si="0"/>
        <v>catalog03_CEN</v>
      </c>
      <c r="B12" t="s">
        <v>865</v>
      </c>
      <c r="C12" t="s">
        <v>866</v>
      </c>
    </row>
    <row r="13" spans="1:4" x14ac:dyDescent="0.2">
      <c r="A13" t="str">
        <f t="shared" si="0"/>
        <v>catalog03_CY</v>
      </c>
      <c r="B13" t="s">
        <v>867</v>
      </c>
      <c r="C13" t="s">
        <v>868</v>
      </c>
    </row>
    <row r="14" spans="1:4" x14ac:dyDescent="0.2">
      <c r="A14" t="str">
        <f t="shared" si="0"/>
        <v>catalog03_CJ</v>
      </c>
      <c r="B14" t="s">
        <v>869</v>
      </c>
      <c r="C14" t="s">
        <v>870</v>
      </c>
    </row>
    <row r="15" spans="1:4" x14ac:dyDescent="0.2">
      <c r="A15" t="str">
        <f t="shared" si="0"/>
        <v>catalog03_DZN</v>
      </c>
      <c r="B15" t="s">
        <v>871</v>
      </c>
      <c r="C15" t="s">
        <v>872</v>
      </c>
    </row>
    <row r="16" spans="1:4" x14ac:dyDescent="0.2">
      <c r="A16" t="str">
        <f t="shared" si="0"/>
        <v>catalog03_DZP</v>
      </c>
      <c r="B16" t="s">
        <v>873</v>
      </c>
      <c r="C16" t="s">
        <v>874</v>
      </c>
    </row>
    <row r="17" spans="1:3" x14ac:dyDescent="0.2">
      <c r="A17" t="str">
        <f t="shared" si="0"/>
        <v>catalog03_BE</v>
      </c>
      <c r="B17" t="s">
        <v>875</v>
      </c>
      <c r="C17" t="s">
        <v>876</v>
      </c>
    </row>
    <row r="18" spans="1:3" x14ac:dyDescent="0.2">
      <c r="A18" t="str">
        <f t="shared" si="0"/>
        <v>catalog03_GLI</v>
      </c>
      <c r="B18" t="s">
        <v>877</v>
      </c>
      <c r="C18" t="s">
        <v>878</v>
      </c>
    </row>
    <row r="19" spans="1:3" x14ac:dyDescent="0.2">
      <c r="A19" t="str">
        <f t="shared" si="0"/>
        <v>catalog03_GRM</v>
      </c>
      <c r="B19" t="s">
        <v>879</v>
      </c>
      <c r="C19" t="s">
        <v>880</v>
      </c>
    </row>
    <row r="20" spans="1:3" x14ac:dyDescent="0.2">
      <c r="A20" t="str">
        <f t="shared" si="0"/>
        <v>catalog03_GRO</v>
      </c>
      <c r="B20" t="s">
        <v>881</v>
      </c>
      <c r="C20" t="s">
        <v>882</v>
      </c>
    </row>
    <row r="21" spans="1:3" x14ac:dyDescent="0.2">
      <c r="A21" t="str">
        <f t="shared" si="0"/>
        <v>catalog03_HLT</v>
      </c>
      <c r="B21" t="s">
        <v>883</v>
      </c>
      <c r="C21" t="s">
        <v>884</v>
      </c>
    </row>
    <row r="22" spans="1:3" x14ac:dyDescent="0.2">
      <c r="A22" t="str">
        <f t="shared" si="0"/>
        <v>catalog03_LEF</v>
      </c>
      <c r="B22" t="s">
        <v>885</v>
      </c>
      <c r="C22" t="s">
        <v>886</v>
      </c>
    </row>
    <row r="23" spans="1:3" x14ac:dyDescent="0.2">
      <c r="A23" t="str">
        <f t="shared" si="0"/>
        <v>catalog03_SET</v>
      </c>
      <c r="B23" t="s">
        <v>887</v>
      </c>
      <c r="C23" t="s">
        <v>888</v>
      </c>
    </row>
    <row r="24" spans="1:3" x14ac:dyDescent="0.2">
      <c r="A24" t="str">
        <f t="shared" si="0"/>
        <v>catalog03_KGM</v>
      </c>
      <c r="B24" t="s">
        <v>889</v>
      </c>
      <c r="C24" t="s">
        <v>890</v>
      </c>
    </row>
    <row r="25" spans="1:3" x14ac:dyDescent="0.2">
      <c r="A25" t="str">
        <f t="shared" si="0"/>
        <v>catalog03_KTM</v>
      </c>
      <c r="B25" t="s">
        <v>891</v>
      </c>
      <c r="C25" t="s">
        <v>892</v>
      </c>
    </row>
    <row r="26" spans="1:3" x14ac:dyDescent="0.2">
      <c r="A26" t="str">
        <f t="shared" si="0"/>
        <v>catalog03_KWH</v>
      </c>
      <c r="B26" t="s">
        <v>893</v>
      </c>
      <c r="C26" t="s">
        <v>894</v>
      </c>
    </row>
    <row r="27" spans="1:3" x14ac:dyDescent="0.2">
      <c r="A27" t="str">
        <f t="shared" si="0"/>
        <v>catalog03_KT</v>
      </c>
      <c r="B27" t="s">
        <v>895</v>
      </c>
      <c r="C27" t="s">
        <v>896</v>
      </c>
    </row>
    <row r="28" spans="1:3" x14ac:dyDescent="0.2">
      <c r="A28" t="str">
        <f t="shared" si="0"/>
        <v>catalog03_CA</v>
      </c>
      <c r="B28" t="s">
        <v>897</v>
      </c>
      <c r="C28" t="s">
        <v>898</v>
      </c>
    </row>
    <row r="29" spans="1:3" x14ac:dyDescent="0.2">
      <c r="A29" t="str">
        <f t="shared" si="0"/>
        <v>catalog03_LBR</v>
      </c>
      <c r="B29" t="s">
        <v>899</v>
      </c>
      <c r="C29" t="s">
        <v>900</v>
      </c>
    </row>
    <row r="30" spans="1:3" x14ac:dyDescent="0.2">
      <c r="A30" t="str">
        <f t="shared" si="0"/>
        <v>catalog03_LTR</v>
      </c>
      <c r="B30" t="s">
        <v>901</v>
      </c>
      <c r="C30" t="s">
        <v>902</v>
      </c>
    </row>
    <row r="31" spans="1:3" x14ac:dyDescent="0.2">
      <c r="A31" t="str">
        <f t="shared" si="0"/>
        <v>catalog03_MWH</v>
      </c>
      <c r="B31" t="s">
        <v>903</v>
      </c>
      <c r="C31" t="s">
        <v>904</v>
      </c>
    </row>
    <row r="32" spans="1:3" x14ac:dyDescent="0.2">
      <c r="A32" t="str">
        <f t="shared" si="0"/>
        <v>catalog03_MTR</v>
      </c>
      <c r="B32" t="s">
        <v>905</v>
      </c>
      <c r="C32" t="s">
        <v>906</v>
      </c>
    </row>
    <row r="33" spans="1:3" x14ac:dyDescent="0.2">
      <c r="A33" t="str">
        <f t="shared" si="0"/>
        <v>catalog03_MTK</v>
      </c>
      <c r="B33" t="s">
        <v>907</v>
      </c>
      <c r="C33" t="s">
        <v>908</v>
      </c>
    </row>
    <row r="34" spans="1:3" x14ac:dyDescent="0.2">
      <c r="A34" t="str">
        <f t="shared" ref="A34:A65" si="1">CONCATENATE("catalog03_",B34)</f>
        <v>catalog03_MTQ</v>
      </c>
      <c r="B34" t="s">
        <v>909</v>
      </c>
      <c r="C34" t="s">
        <v>910</v>
      </c>
    </row>
    <row r="35" spans="1:3" x14ac:dyDescent="0.2">
      <c r="A35" t="str">
        <f t="shared" si="1"/>
        <v>catalog03_MGM</v>
      </c>
      <c r="B35" t="s">
        <v>911</v>
      </c>
      <c r="C35" t="s">
        <v>912</v>
      </c>
    </row>
    <row r="36" spans="1:3" x14ac:dyDescent="0.2">
      <c r="A36" t="str">
        <f t="shared" si="1"/>
        <v>catalog03_MLT</v>
      </c>
      <c r="B36" t="s">
        <v>913</v>
      </c>
      <c r="C36" t="s">
        <v>914</v>
      </c>
    </row>
    <row r="37" spans="1:3" x14ac:dyDescent="0.2">
      <c r="A37" t="str">
        <f t="shared" si="1"/>
        <v>catalog03_MMT</v>
      </c>
      <c r="B37" t="s">
        <v>915</v>
      </c>
      <c r="C37" t="s">
        <v>916</v>
      </c>
    </row>
    <row r="38" spans="1:3" x14ac:dyDescent="0.2">
      <c r="A38" t="str">
        <f t="shared" si="1"/>
        <v>catalog03_MMK</v>
      </c>
      <c r="B38" t="s">
        <v>529</v>
      </c>
      <c r="C38" t="s">
        <v>917</v>
      </c>
    </row>
    <row r="39" spans="1:3" x14ac:dyDescent="0.2">
      <c r="A39" t="str">
        <f t="shared" si="1"/>
        <v>catalog03_MMQ</v>
      </c>
      <c r="B39" t="s">
        <v>918</v>
      </c>
      <c r="C39" t="s">
        <v>919</v>
      </c>
    </row>
    <row r="40" spans="1:3" x14ac:dyDescent="0.2">
      <c r="A40" t="str">
        <f t="shared" si="1"/>
        <v>catalog03_MLL</v>
      </c>
      <c r="B40" t="s">
        <v>920</v>
      </c>
      <c r="C40" t="s">
        <v>921</v>
      </c>
    </row>
    <row r="41" spans="1:3" x14ac:dyDescent="0.2">
      <c r="A41" t="str">
        <f t="shared" si="1"/>
        <v>catalog03_UM</v>
      </c>
      <c r="B41" t="s">
        <v>922</v>
      </c>
      <c r="C41" t="s">
        <v>923</v>
      </c>
    </row>
    <row r="42" spans="1:3" x14ac:dyDescent="0.2">
      <c r="A42" t="str">
        <f t="shared" si="1"/>
        <v>catalog03_ONZ</v>
      </c>
      <c r="B42" t="s">
        <v>924</v>
      </c>
      <c r="C42" t="s">
        <v>925</v>
      </c>
    </row>
    <row r="43" spans="1:3" x14ac:dyDescent="0.2">
      <c r="A43" t="str">
        <f t="shared" si="1"/>
        <v>catalog03_PF</v>
      </c>
      <c r="B43" t="s">
        <v>926</v>
      </c>
      <c r="C43" t="s">
        <v>927</v>
      </c>
    </row>
    <row r="44" spans="1:3" x14ac:dyDescent="0.2">
      <c r="A44" t="str">
        <f t="shared" si="1"/>
        <v>catalog03_PK</v>
      </c>
      <c r="B44" t="s">
        <v>928</v>
      </c>
      <c r="C44" t="s">
        <v>929</v>
      </c>
    </row>
    <row r="45" spans="1:3" x14ac:dyDescent="0.2">
      <c r="A45" t="str">
        <f t="shared" si="1"/>
        <v>catalog03_PR</v>
      </c>
      <c r="B45" t="s">
        <v>930</v>
      </c>
      <c r="C45" t="s">
        <v>931</v>
      </c>
    </row>
    <row r="46" spans="1:3" x14ac:dyDescent="0.2">
      <c r="A46" t="str">
        <f t="shared" si="1"/>
        <v>catalog03_FOT</v>
      </c>
      <c r="B46" t="s">
        <v>932</v>
      </c>
      <c r="C46" t="s">
        <v>933</v>
      </c>
    </row>
    <row r="47" spans="1:3" x14ac:dyDescent="0.2">
      <c r="A47" t="str">
        <f t="shared" si="1"/>
        <v>catalog03_FTK</v>
      </c>
      <c r="B47" t="s">
        <v>934</v>
      </c>
      <c r="C47" t="s">
        <v>935</v>
      </c>
    </row>
    <row r="48" spans="1:3" x14ac:dyDescent="0.2">
      <c r="A48" t="str">
        <f t="shared" si="1"/>
        <v>catalog03_FTQ</v>
      </c>
      <c r="B48" t="s">
        <v>936</v>
      </c>
      <c r="C48" t="s">
        <v>937</v>
      </c>
    </row>
    <row r="49" spans="1:3" x14ac:dyDescent="0.2">
      <c r="A49" t="str">
        <f t="shared" si="1"/>
        <v>catalog03_C62</v>
      </c>
      <c r="B49" t="s">
        <v>938</v>
      </c>
      <c r="C49" t="s">
        <v>939</v>
      </c>
    </row>
    <row r="50" spans="1:3" x14ac:dyDescent="0.2">
      <c r="A50" t="str">
        <f t="shared" si="1"/>
        <v>catalog03_PG</v>
      </c>
      <c r="B50" t="s">
        <v>940</v>
      </c>
      <c r="C50" t="s">
        <v>941</v>
      </c>
    </row>
    <row r="51" spans="1:3" x14ac:dyDescent="0.2">
      <c r="A51" t="str">
        <f t="shared" si="1"/>
        <v>catalog03_ST</v>
      </c>
      <c r="B51" t="s">
        <v>942</v>
      </c>
      <c r="C51" t="s">
        <v>943</v>
      </c>
    </row>
    <row r="52" spans="1:3" x14ac:dyDescent="0.2">
      <c r="A52" t="str">
        <f t="shared" si="1"/>
        <v>catalog03_INH</v>
      </c>
      <c r="B52" t="s">
        <v>944</v>
      </c>
      <c r="C52" t="s">
        <v>945</v>
      </c>
    </row>
    <row r="53" spans="1:3" x14ac:dyDescent="0.2">
      <c r="A53" t="str">
        <f t="shared" si="1"/>
        <v>catalog03_RM</v>
      </c>
      <c r="B53" t="s">
        <v>946</v>
      </c>
      <c r="C53" t="s">
        <v>947</v>
      </c>
    </row>
    <row r="54" spans="1:3" x14ac:dyDescent="0.2">
      <c r="A54" t="str">
        <f t="shared" si="1"/>
        <v>catalog03_DR</v>
      </c>
      <c r="B54" t="s">
        <v>948</v>
      </c>
      <c r="C54" t="s">
        <v>949</v>
      </c>
    </row>
    <row r="55" spans="1:3" x14ac:dyDescent="0.2">
      <c r="A55" t="str">
        <f t="shared" si="1"/>
        <v>catalog03_STN</v>
      </c>
      <c r="B55" t="s">
        <v>626</v>
      </c>
      <c r="C55" t="s">
        <v>950</v>
      </c>
    </row>
    <row r="56" spans="1:3" x14ac:dyDescent="0.2">
      <c r="A56" t="str">
        <f t="shared" si="1"/>
        <v>catalog03_LTN</v>
      </c>
      <c r="B56" t="s">
        <v>951</v>
      </c>
      <c r="C56" t="s">
        <v>952</v>
      </c>
    </row>
    <row r="57" spans="1:3" x14ac:dyDescent="0.2">
      <c r="A57" t="str">
        <f t="shared" si="1"/>
        <v>catalog03_TNE</v>
      </c>
      <c r="B57" t="s">
        <v>953</v>
      </c>
      <c r="C57" t="s">
        <v>954</v>
      </c>
    </row>
    <row r="58" spans="1:3" x14ac:dyDescent="0.2">
      <c r="A58" t="str">
        <f t="shared" si="1"/>
        <v>catalog03_TU</v>
      </c>
      <c r="B58" t="s">
        <v>955</v>
      </c>
      <c r="C58" t="s">
        <v>956</v>
      </c>
    </row>
    <row r="59" spans="1:3" x14ac:dyDescent="0.2">
      <c r="A59" t="str">
        <f t="shared" si="1"/>
        <v>catalog03_NIU</v>
      </c>
      <c r="B59" t="s">
        <v>957</v>
      </c>
      <c r="C59" t="s">
        <v>958</v>
      </c>
    </row>
    <row r="60" spans="1:3" x14ac:dyDescent="0.2">
      <c r="A60" t="str">
        <f t="shared" si="1"/>
        <v>catalog03_ZZ</v>
      </c>
      <c r="B60" t="s">
        <v>959</v>
      </c>
      <c r="C60" t="s">
        <v>960</v>
      </c>
    </row>
    <row r="61" spans="1:3" x14ac:dyDescent="0.2">
      <c r="A61" t="str">
        <f t="shared" si="1"/>
        <v>catalog03_GLL</v>
      </c>
      <c r="B61" t="s">
        <v>961</v>
      </c>
      <c r="C61" t="s">
        <v>962</v>
      </c>
    </row>
    <row r="62" spans="1:3" x14ac:dyDescent="0.2">
      <c r="A62" t="str">
        <f t="shared" si="1"/>
        <v>catalog03_YRD</v>
      </c>
      <c r="B62" t="s">
        <v>963</v>
      </c>
      <c r="C62" t="s">
        <v>964</v>
      </c>
    </row>
    <row r="63" spans="1:3" x14ac:dyDescent="0.2">
      <c r="A63" t="str">
        <f t="shared" si="1"/>
        <v>catalog03_YDK</v>
      </c>
      <c r="B63" t="s">
        <v>965</v>
      </c>
      <c r="C63" t="s">
        <v>966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Roman,Normal"&amp;12&amp;A</oddHeader>
    <oddFooter>&amp;C&amp;"Times New Roman,Normal"&amp;12Página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41"/>
  <sheetViews>
    <sheetView zoomScale="120" zoomScaleNormal="120" workbookViewId="0">
      <selection activeCell="D1" sqref="D1"/>
    </sheetView>
  </sheetViews>
  <sheetFormatPr baseColWidth="10" defaultColWidth="11.85546875" defaultRowHeight="12.75" x14ac:dyDescent="0.2"/>
  <cols>
    <col min="1" max="1" width="14.5703125" customWidth="1"/>
  </cols>
  <sheetData>
    <row r="1" spans="1:6" x14ac:dyDescent="0.2">
      <c r="A1" t="s">
        <v>0</v>
      </c>
      <c r="B1" t="s">
        <v>1</v>
      </c>
      <c r="C1" t="s">
        <v>2</v>
      </c>
      <c r="D1" s="1" t="s">
        <v>3</v>
      </c>
      <c r="E1" t="s">
        <v>967</v>
      </c>
      <c r="F1" t="s">
        <v>47</v>
      </c>
    </row>
    <row r="2" spans="1:6" x14ac:dyDescent="0.2">
      <c r="A2" t="str">
        <f t="shared" ref="A2:A65" si="0">CONCATENATE("catalog04_",B2)</f>
        <v>catalog04_AX</v>
      </c>
      <c r="B2" t="s">
        <v>968</v>
      </c>
      <c r="C2" t="s">
        <v>969</v>
      </c>
      <c r="E2" t="s">
        <v>970</v>
      </c>
      <c r="F2" s="5" t="s">
        <v>971</v>
      </c>
    </row>
    <row r="3" spans="1:6" x14ac:dyDescent="0.2">
      <c r="A3" t="str">
        <f t="shared" si="0"/>
        <v>catalog04_AF</v>
      </c>
      <c r="B3" t="s">
        <v>972</v>
      </c>
      <c r="C3" t="s">
        <v>50</v>
      </c>
      <c r="E3" t="s">
        <v>973</v>
      </c>
      <c r="F3" s="5" t="s">
        <v>974</v>
      </c>
    </row>
    <row r="4" spans="1:6" x14ac:dyDescent="0.2">
      <c r="A4" t="str">
        <f t="shared" si="0"/>
        <v>catalog04_AL</v>
      </c>
      <c r="B4" t="s">
        <v>975</v>
      </c>
      <c r="C4" t="s">
        <v>58</v>
      </c>
      <c r="E4" t="s">
        <v>976</v>
      </c>
      <c r="F4" s="5" t="s">
        <v>59</v>
      </c>
    </row>
    <row r="5" spans="1:6" x14ac:dyDescent="0.2">
      <c r="A5" t="str">
        <f t="shared" si="0"/>
        <v>catalog04_DZ</v>
      </c>
      <c r="B5" t="s">
        <v>977</v>
      </c>
      <c r="C5" t="s">
        <v>62</v>
      </c>
      <c r="E5" t="s">
        <v>978</v>
      </c>
      <c r="F5" s="5" t="s">
        <v>63</v>
      </c>
    </row>
    <row r="6" spans="1:6" x14ac:dyDescent="0.2">
      <c r="A6" t="str">
        <f t="shared" si="0"/>
        <v>catalog04_AS</v>
      </c>
      <c r="B6" t="s">
        <v>979</v>
      </c>
      <c r="C6" t="s">
        <v>66</v>
      </c>
      <c r="E6" t="s">
        <v>980</v>
      </c>
      <c r="F6" s="5" t="s">
        <v>981</v>
      </c>
    </row>
    <row r="7" spans="1:6" x14ac:dyDescent="0.2">
      <c r="A7" t="str">
        <f t="shared" si="0"/>
        <v>catalog04_AD</v>
      </c>
      <c r="B7" t="s">
        <v>982</v>
      </c>
      <c r="C7" t="s">
        <v>68</v>
      </c>
      <c r="E7" t="s">
        <v>983</v>
      </c>
      <c r="F7" s="5" t="s">
        <v>984</v>
      </c>
    </row>
    <row r="8" spans="1:6" x14ac:dyDescent="0.2">
      <c r="A8" t="str">
        <f t="shared" si="0"/>
        <v>catalog04_AO</v>
      </c>
      <c r="B8" t="s">
        <v>985</v>
      </c>
      <c r="C8" t="s">
        <v>71</v>
      </c>
      <c r="E8" t="s">
        <v>986</v>
      </c>
      <c r="F8" s="5" t="s">
        <v>987</v>
      </c>
    </row>
    <row r="9" spans="1:6" x14ac:dyDescent="0.2">
      <c r="A9" t="str">
        <f t="shared" si="0"/>
        <v>catalog04_AI</v>
      </c>
      <c r="B9" t="s">
        <v>988</v>
      </c>
      <c r="C9" t="s">
        <v>75</v>
      </c>
      <c r="E9" t="s">
        <v>989</v>
      </c>
      <c r="F9" s="5" t="s">
        <v>990</v>
      </c>
    </row>
    <row r="10" spans="1:6" x14ac:dyDescent="0.2">
      <c r="A10" t="str">
        <f t="shared" si="0"/>
        <v>catalog04_AQ</v>
      </c>
      <c r="B10" t="s">
        <v>991</v>
      </c>
      <c r="C10" t="s">
        <v>992</v>
      </c>
      <c r="E10" t="s">
        <v>993</v>
      </c>
      <c r="F10" s="5" t="s">
        <v>994</v>
      </c>
    </row>
    <row r="11" spans="1:6" x14ac:dyDescent="0.2">
      <c r="A11" t="str">
        <f t="shared" si="0"/>
        <v>catalog04_AG</v>
      </c>
      <c r="B11" t="s">
        <v>995</v>
      </c>
      <c r="C11" t="s">
        <v>77</v>
      </c>
      <c r="E11" t="s">
        <v>996</v>
      </c>
      <c r="F11" s="5" t="s">
        <v>997</v>
      </c>
    </row>
    <row r="12" spans="1:6" x14ac:dyDescent="0.2">
      <c r="A12" t="str">
        <f t="shared" si="0"/>
        <v>catalog04_AR</v>
      </c>
      <c r="B12" t="s">
        <v>998</v>
      </c>
      <c r="C12" t="s">
        <v>80</v>
      </c>
      <c r="E12" t="s">
        <v>999</v>
      </c>
      <c r="F12" s="5" t="s">
        <v>81</v>
      </c>
    </row>
    <row r="13" spans="1:6" x14ac:dyDescent="0.2">
      <c r="A13" t="str">
        <f t="shared" si="0"/>
        <v>catalog04_AM</v>
      </c>
      <c r="B13" t="s">
        <v>1000</v>
      </c>
      <c r="C13" t="s">
        <v>84</v>
      </c>
      <c r="E13" t="s">
        <v>1001</v>
      </c>
      <c r="F13" s="5" t="s">
        <v>85</v>
      </c>
    </row>
    <row r="14" spans="1:6" x14ac:dyDescent="0.2">
      <c r="A14" t="str">
        <f t="shared" si="0"/>
        <v>catalog04_AW</v>
      </c>
      <c r="B14" t="s">
        <v>1002</v>
      </c>
      <c r="C14" t="s">
        <v>88</v>
      </c>
      <c r="E14" t="s">
        <v>1003</v>
      </c>
      <c r="F14" s="5" t="s">
        <v>89</v>
      </c>
    </row>
    <row r="15" spans="1:6" x14ac:dyDescent="0.2">
      <c r="A15" t="str">
        <f t="shared" si="0"/>
        <v>catalog04_AU</v>
      </c>
      <c r="B15" t="s">
        <v>1004</v>
      </c>
      <c r="C15" t="s">
        <v>92</v>
      </c>
      <c r="E15" t="s">
        <v>1005</v>
      </c>
      <c r="F15" s="5" t="s">
        <v>93</v>
      </c>
    </row>
    <row r="16" spans="1:6" x14ac:dyDescent="0.2">
      <c r="A16" t="str">
        <f t="shared" si="0"/>
        <v>catalog04_AT</v>
      </c>
      <c r="B16" t="s">
        <v>1006</v>
      </c>
      <c r="C16" t="s">
        <v>94</v>
      </c>
      <c r="E16" t="s">
        <v>1007</v>
      </c>
      <c r="F16" s="5" t="s">
        <v>1008</v>
      </c>
    </row>
    <row r="17" spans="1:6" x14ac:dyDescent="0.2">
      <c r="A17" t="str">
        <f t="shared" si="0"/>
        <v>catalog04_AZ</v>
      </c>
      <c r="B17" t="s">
        <v>1009</v>
      </c>
      <c r="C17" t="s">
        <v>97</v>
      </c>
      <c r="E17" t="s">
        <v>1010</v>
      </c>
      <c r="F17" s="5" t="s">
        <v>1011</v>
      </c>
    </row>
    <row r="18" spans="1:6" x14ac:dyDescent="0.2">
      <c r="A18" t="str">
        <f t="shared" si="0"/>
        <v>catalog04_BS</v>
      </c>
      <c r="B18" t="s">
        <v>1012</v>
      </c>
      <c r="C18" t="s">
        <v>1013</v>
      </c>
      <c r="E18" t="s">
        <v>1014</v>
      </c>
      <c r="F18" s="5" t="s">
        <v>102</v>
      </c>
    </row>
    <row r="19" spans="1:6" x14ac:dyDescent="0.2">
      <c r="A19" t="str">
        <f t="shared" si="0"/>
        <v>catalog04_BH</v>
      </c>
      <c r="B19" t="s">
        <v>1015</v>
      </c>
      <c r="C19" t="s">
        <v>105</v>
      </c>
      <c r="E19" t="s">
        <v>1016</v>
      </c>
      <c r="F19" s="5" t="s">
        <v>106</v>
      </c>
    </row>
    <row r="20" spans="1:6" x14ac:dyDescent="0.2">
      <c r="A20" t="str">
        <f t="shared" si="0"/>
        <v>catalog04_BD</v>
      </c>
      <c r="B20" t="s">
        <v>1017</v>
      </c>
      <c r="C20" t="s">
        <v>109</v>
      </c>
      <c r="E20" t="s">
        <v>1018</v>
      </c>
      <c r="F20" s="5" t="s">
        <v>110</v>
      </c>
    </row>
    <row r="21" spans="1:6" x14ac:dyDescent="0.2">
      <c r="A21" t="str">
        <f t="shared" si="0"/>
        <v>catalog04_BB</v>
      </c>
      <c r="B21" t="s">
        <v>1019</v>
      </c>
      <c r="C21" t="s">
        <v>113</v>
      </c>
      <c r="E21" t="s">
        <v>1020</v>
      </c>
      <c r="F21" s="5" t="s">
        <v>114</v>
      </c>
    </row>
    <row r="22" spans="1:6" x14ac:dyDescent="0.2">
      <c r="A22" t="str">
        <f t="shared" si="0"/>
        <v>catalog04_BY</v>
      </c>
      <c r="B22" t="s">
        <v>1021</v>
      </c>
      <c r="C22" t="s">
        <v>117</v>
      </c>
      <c r="E22" t="s">
        <v>1022</v>
      </c>
      <c r="F22" s="5" t="s">
        <v>1023</v>
      </c>
    </row>
    <row r="23" spans="1:6" x14ac:dyDescent="0.2">
      <c r="A23" t="str">
        <f t="shared" si="0"/>
        <v>catalog04_BE</v>
      </c>
      <c r="B23" t="s">
        <v>875</v>
      </c>
      <c r="C23" t="s">
        <v>119</v>
      </c>
      <c r="E23" t="s">
        <v>1024</v>
      </c>
      <c r="F23" s="5" t="s">
        <v>1025</v>
      </c>
    </row>
    <row r="24" spans="1:6" x14ac:dyDescent="0.2">
      <c r="A24" t="str">
        <f t="shared" si="0"/>
        <v>catalog04_BZ</v>
      </c>
      <c r="B24" t="s">
        <v>1026</v>
      </c>
      <c r="C24" t="s">
        <v>122</v>
      </c>
      <c r="E24" t="s">
        <v>1027</v>
      </c>
      <c r="F24" s="5" t="s">
        <v>123</v>
      </c>
    </row>
    <row r="25" spans="1:6" x14ac:dyDescent="0.2">
      <c r="A25" t="str">
        <f t="shared" si="0"/>
        <v>catalog04_BJ</v>
      </c>
      <c r="B25" t="s">
        <v>847</v>
      </c>
      <c r="C25" t="s">
        <v>126</v>
      </c>
      <c r="E25" t="s">
        <v>1028</v>
      </c>
      <c r="F25" s="5" t="s">
        <v>1029</v>
      </c>
    </row>
    <row r="26" spans="1:6" x14ac:dyDescent="0.2">
      <c r="A26" t="str">
        <f t="shared" si="0"/>
        <v>catalog04_BM</v>
      </c>
      <c r="B26" t="s">
        <v>1030</v>
      </c>
      <c r="C26" t="s">
        <v>130</v>
      </c>
      <c r="E26" t="s">
        <v>1031</v>
      </c>
      <c r="F26" s="5" t="s">
        <v>131</v>
      </c>
    </row>
    <row r="27" spans="1:6" x14ac:dyDescent="0.2">
      <c r="A27" t="str">
        <f t="shared" si="0"/>
        <v>catalog04_BT</v>
      </c>
      <c r="B27" t="s">
        <v>1032</v>
      </c>
      <c r="C27" t="s">
        <v>134</v>
      </c>
      <c r="E27" t="s">
        <v>136</v>
      </c>
      <c r="F27" s="5" t="s">
        <v>138</v>
      </c>
    </row>
    <row r="28" spans="1:6" x14ac:dyDescent="0.2">
      <c r="A28" t="str">
        <f t="shared" si="0"/>
        <v>catalog04_BO</v>
      </c>
      <c r="B28" t="s">
        <v>853</v>
      </c>
      <c r="C28" t="s">
        <v>1033</v>
      </c>
      <c r="E28" t="s">
        <v>1034</v>
      </c>
      <c r="F28" s="5" t="s">
        <v>142</v>
      </c>
    </row>
    <row r="29" spans="1:6" x14ac:dyDescent="0.2">
      <c r="A29" t="str">
        <f t="shared" si="0"/>
        <v>catalog04_BA</v>
      </c>
      <c r="B29" t="s">
        <v>1035</v>
      </c>
      <c r="C29" t="s">
        <v>1036</v>
      </c>
      <c r="E29" t="s">
        <v>1037</v>
      </c>
      <c r="F29" s="5" t="s">
        <v>1038</v>
      </c>
    </row>
    <row r="30" spans="1:6" x14ac:dyDescent="0.2">
      <c r="A30" t="str">
        <f t="shared" si="0"/>
        <v>catalog04_BW</v>
      </c>
      <c r="B30" t="s">
        <v>1039</v>
      </c>
      <c r="C30" t="s">
        <v>153</v>
      </c>
      <c r="E30" t="s">
        <v>1040</v>
      </c>
      <c r="F30" s="5" t="s">
        <v>154</v>
      </c>
    </row>
    <row r="31" spans="1:6" x14ac:dyDescent="0.2">
      <c r="A31" t="str">
        <f t="shared" si="0"/>
        <v>catalog04_BV</v>
      </c>
      <c r="B31" t="s">
        <v>1041</v>
      </c>
      <c r="C31" t="s">
        <v>157</v>
      </c>
      <c r="E31" t="s">
        <v>1042</v>
      </c>
      <c r="F31" s="5" t="s">
        <v>1043</v>
      </c>
    </row>
    <row r="32" spans="1:6" x14ac:dyDescent="0.2">
      <c r="A32" t="str">
        <f t="shared" si="0"/>
        <v>catalog04_BR</v>
      </c>
      <c r="B32" t="s">
        <v>1044</v>
      </c>
      <c r="C32" t="s">
        <v>161</v>
      </c>
      <c r="E32" t="s">
        <v>1045</v>
      </c>
      <c r="F32" s="5" t="s">
        <v>1046</v>
      </c>
    </row>
    <row r="33" spans="1:6" x14ac:dyDescent="0.2">
      <c r="A33" t="str">
        <f t="shared" si="0"/>
        <v>catalog04_IO</v>
      </c>
      <c r="B33" t="s">
        <v>1047</v>
      </c>
      <c r="C33" t="s">
        <v>1048</v>
      </c>
      <c r="E33" t="s">
        <v>1049</v>
      </c>
      <c r="F33" s="5" t="s">
        <v>1050</v>
      </c>
    </row>
    <row r="34" spans="1:6" x14ac:dyDescent="0.2">
      <c r="A34" t="str">
        <f t="shared" si="0"/>
        <v>catalog04_BN</v>
      </c>
      <c r="B34" t="s">
        <v>1051</v>
      </c>
      <c r="C34" t="s">
        <v>166</v>
      </c>
      <c r="E34" t="s">
        <v>1052</v>
      </c>
      <c r="F34" s="5" t="s">
        <v>167</v>
      </c>
    </row>
    <row r="35" spans="1:6" x14ac:dyDescent="0.2">
      <c r="A35" t="str">
        <f t="shared" si="0"/>
        <v>catalog04_BG</v>
      </c>
      <c r="B35" t="s">
        <v>851</v>
      </c>
      <c r="C35" t="s">
        <v>170</v>
      </c>
      <c r="E35" t="s">
        <v>1053</v>
      </c>
      <c r="F35" s="5" t="s">
        <v>1054</v>
      </c>
    </row>
    <row r="36" spans="1:6" x14ac:dyDescent="0.2">
      <c r="A36" t="str">
        <f t="shared" si="0"/>
        <v>catalog04_BF</v>
      </c>
      <c r="B36" t="s">
        <v>1055</v>
      </c>
      <c r="C36" t="s">
        <v>172</v>
      </c>
      <c r="E36" t="s">
        <v>1056</v>
      </c>
      <c r="F36" s="5" t="s">
        <v>1057</v>
      </c>
    </row>
    <row r="37" spans="1:6" x14ac:dyDescent="0.2">
      <c r="A37" t="str">
        <f t="shared" si="0"/>
        <v>catalog04_BI</v>
      </c>
      <c r="B37" t="s">
        <v>1058</v>
      </c>
      <c r="C37" t="s">
        <v>175</v>
      </c>
      <c r="E37" t="s">
        <v>1059</v>
      </c>
      <c r="F37" s="5" t="s">
        <v>176</v>
      </c>
    </row>
    <row r="38" spans="1:6" x14ac:dyDescent="0.2">
      <c r="A38" t="str">
        <f t="shared" si="0"/>
        <v>catalog04_KH</v>
      </c>
      <c r="B38" t="s">
        <v>1060</v>
      </c>
      <c r="C38" t="s">
        <v>183</v>
      </c>
      <c r="E38" t="s">
        <v>1061</v>
      </c>
      <c r="F38" s="5" t="s">
        <v>184</v>
      </c>
    </row>
    <row r="39" spans="1:6" x14ac:dyDescent="0.2">
      <c r="A39" t="str">
        <f t="shared" si="0"/>
        <v>catalog04_CM</v>
      </c>
      <c r="B39" t="s">
        <v>1062</v>
      </c>
      <c r="C39" t="s">
        <v>187</v>
      </c>
      <c r="E39" t="s">
        <v>1063</v>
      </c>
      <c r="F39" s="5" t="s">
        <v>1064</v>
      </c>
    </row>
    <row r="40" spans="1:6" x14ac:dyDescent="0.2">
      <c r="A40" t="str">
        <f t="shared" si="0"/>
        <v>catalog04_CA</v>
      </c>
      <c r="B40" t="s">
        <v>897</v>
      </c>
      <c r="C40" t="s">
        <v>191</v>
      </c>
      <c r="E40" t="s">
        <v>1065</v>
      </c>
      <c r="F40" s="5" t="s">
        <v>192</v>
      </c>
    </row>
    <row r="41" spans="1:6" x14ac:dyDescent="0.2">
      <c r="A41" t="str">
        <f t="shared" si="0"/>
        <v>catalog04_CV</v>
      </c>
      <c r="B41" t="s">
        <v>1066</v>
      </c>
      <c r="C41" t="s">
        <v>1067</v>
      </c>
      <c r="E41" t="s">
        <v>1068</v>
      </c>
      <c r="F41" s="5" t="s">
        <v>180</v>
      </c>
    </row>
    <row r="42" spans="1:6" x14ac:dyDescent="0.2">
      <c r="A42" t="str">
        <f t="shared" si="0"/>
        <v>catalog04_KY</v>
      </c>
      <c r="B42" t="s">
        <v>1069</v>
      </c>
      <c r="C42" t="s">
        <v>1070</v>
      </c>
      <c r="E42" t="s">
        <v>1071</v>
      </c>
      <c r="F42" s="5" t="s">
        <v>196</v>
      </c>
    </row>
    <row r="43" spans="1:6" x14ac:dyDescent="0.2">
      <c r="A43" t="str">
        <f t="shared" si="0"/>
        <v>catalog04_CF</v>
      </c>
      <c r="B43" t="s">
        <v>1072</v>
      </c>
      <c r="C43" t="s">
        <v>1073</v>
      </c>
      <c r="E43" t="s">
        <v>1074</v>
      </c>
      <c r="F43" s="5" t="s">
        <v>1075</v>
      </c>
    </row>
    <row r="44" spans="1:6" x14ac:dyDescent="0.2">
      <c r="A44" t="str">
        <f t="shared" si="0"/>
        <v>catalog04_TD</v>
      </c>
      <c r="B44" t="s">
        <v>1076</v>
      </c>
      <c r="C44" t="s">
        <v>198</v>
      </c>
      <c r="E44" t="s">
        <v>1077</v>
      </c>
      <c r="F44" s="5" t="s">
        <v>1078</v>
      </c>
    </row>
    <row r="45" spans="1:6" x14ac:dyDescent="0.2">
      <c r="A45" t="str">
        <f t="shared" si="0"/>
        <v>catalog04_CL</v>
      </c>
      <c r="B45" t="s">
        <v>1079</v>
      </c>
      <c r="C45" t="s">
        <v>201</v>
      </c>
      <c r="E45" t="s">
        <v>1080</v>
      </c>
      <c r="F45" s="5" t="s">
        <v>202</v>
      </c>
    </row>
    <row r="46" spans="1:6" x14ac:dyDescent="0.2">
      <c r="A46" t="str">
        <f t="shared" si="0"/>
        <v>catalog04_CN</v>
      </c>
      <c r="B46" t="s">
        <v>1081</v>
      </c>
      <c r="C46" t="s">
        <v>208</v>
      </c>
      <c r="E46" t="s">
        <v>1082</v>
      </c>
      <c r="F46" s="5" t="s">
        <v>209</v>
      </c>
    </row>
    <row r="47" spans="1:6" x14ac:dyDescent="0.2">
      <c r="A47" t="str">
        <f t="shared" si="0"/>
        <v>catalog04_CX</v>
      </c>
      <c r="B47" t="s">
        <v>1083</v>
      </c>
      <c r="C47" t="s">
        <v>210</v>
      </c>
      <c r="E47" t="s">
        <v>1084</v>
      </c>
      <c r="F47" s="5" t="s">
        <v>1085</v>
      </c>
    </row>
    <row r="48" spans="1:6" x14ac:dyDescent="0.2">
      <c r="A48" t="str">
        <f t="shared" si="0"/>
        <v>catalog04_CC</v>
      </c>
      <c r="B48" t="s">
        <v>1086</v>
      </c>
      <c r="C48" t="s">
        <v>1087</v>
      </c>
      <c r="E48" t="s">
        <v>1088</v>
      </c>
      <c r="F48" s="5" t="s">
        <v>1089</v>
      </c>
    </row>
    <row r="49" spans="1:6" x14ac:dyDescent="0.2">
      <c r="A49" t="str">
        <f t="shared" si="0"/>
        <v>catalog04_CO</v>
      </c>
      <c r="B49" t="s">
        <v>1090</v>
      </c>
      <c r="C49" t="s">
        <v>214</v>
      </c>
      <c r="E49" t="s">
        <v>1091</v>
      </c>
      <c r="F49" s="5" t="s">
        <v>215</v>
      </c>
    </row>
    <row r="50" spans="1:6" x14ac:dyDescent="0.2">
      <c r="A50" t="str">
        <f t="shared" si="0"/>
        <v>catalog04_KM</v>
      </c>
      <c r="B50" t="s">
        <v>1092</v>
      </c>
      <c r="C50" t="s">
        <v>1093</v>
      </c>
      <c r="E50" t="s">
        <v>1094</v>
      </c>
      <c r="F50" s="5" t="s">
        <v>222</v>
      </c>
    </row>
    <row r="51" spans="1:6" x14ac:dyDescent="0.2">
      <c r="A51" t="str">
        <f t="shared" si="0"/>
        <v>catalog04_CD</v>
      </c>
      <c r="B51" t="s">
        <v>1095</v>
      </c>
      <c r="C51" t="s">
        <v>1096</v>
      </c>
      <c r="E51" t="s">
        <v>1097</v>
      </c>
      <c r="F51" s="5" t="s">
        <v>1098</v>
      </c>
    </row>
    <row r="52" spans="1:6" x14ac:dyDescent="0.2">
      <c r="A52" t="str">
        <f t="shared" si="0"/>
        <v>catalog04_CG</v>
      </c>
      <c r="B52" t="s">
        <v>1099</v>
      </c>
      <c r="C52" t="s">
        <v>1100</v>
      </c>
      <c r="E52" t="s">
        <v>1101</v>
      </c>
      <c r="F52" s="5" t="s">
        <v>1102</v>
      </c>
    </row>
    <row r="53" spans="1:6" x14ac:dyDescent="0.2">
      <c r="A53" t="str">
        <f t="shared" si="0"/>
        <v>catalog04_CK</v>
      </c>
      <c r="B53" t="s">
        <v>1103</v>
      </c>
      <c r="C53" t="s">
        <v>1104</v>
      </c>
      <c r="E53" t="s">
        <v>1105</v>
      </c>
      <c r="F53" s="5" t="s">
        <v>1106</v>
      </c>
    </row>
    <row r="54" spans="1:6" x14ac:dyDescent="0.2">
      <c r="A54" t="str">
        <f t="shared" si="0"/>
        <v>catalog04_CR</v>
      </c>
      <c r="B54" t="s">
        <v>1107</v>
      </c>
      <c r="C54" t="s">
        <v>234</v>
      </c>
      <c r="E54" t="s">
        <v>1108</v>
      </c>
      <c r="F54" s="5" t="s">
        <v>235</v>
      </c>
    </row>
    <row r="55" spans="1:6" x14ac:dyDescent="0.2">
      <c r="A55" t="str">
        <f t="shared" si="0"/>
        <v>catalog04_CI</v>
      </c>
      <c r="B55" t="s">
        <v>1109</v>
      </c>
      <c r="C55" t="s">
        <v>1110</v>
      </c>
      <c r="E55" t="s">
        <v>1111</v>
      </c>
      <c r="F55" s="5" t="s">
        <v>1112</v>
      </c>
    </row>
    <row r="56" spans="1:6" x14ac:dyDescent="0.2">
      <c r="A56" t="str">
        <f t="shared" si="0"/>
        <v>catalog04_HR</v>
      </c>
      <c r="B56" t="s">
        <v>1113</v>
      </c>
      <c r="C56" t="s">
        <v>1114</v>
      </c>
      <c r="E56" t="s">
        <v>1115</v>
      </c>
      <c r="F56" s="5" t="s">
        <v>240</v>
      </c>
    </row>
    <row r="57" spans="1:6" x14ac:dyDescent="0.2">
      <c r="A57" t="str">
        <f t="shared" si="0"/>
        <v>catalog04_CU</v>
      </c>
      <c r="B57" t="s">
        <v>1116</v>
      </c>
      <c r="C57" t="s">
        <v>243</v>
      </c>
      <c r="E57" t="s">
        <v>1117</v>
      </c>
      <c r="F57" s="5" t="s">
        <v>244</v>
      </c>
    </row>
    <row r="58" spans="1:6" x14ac:dyDescent="0.2">
      <c r="A58" t="str">
        <f t="shared" si="0"/>
        <v>catalog04_CY</v>
      </c>
      <c r="B58" t="s">
        <v>867</v>
      </c>
      <c r="C58" t="s">
        <v>252</v>
      </c>
      <c r="E58" t="s">
        <v>1118</v>
      </c>
      <c r="F58" s="5" t="s">
        <v>1119</v>
      </c>
    </row>
    <row r="59" spans="1:6" x14ac:dyDescent="0.2">
      <c r="A59" t="str">
        <f t="shared" si="0"/>
        <v>catalog04_CZ</v>
      </c>
      <c r="B59" t="s">
        <v>1120</v>
      </c>
      <c r="C59" t="s">
        <v>1121</v>
      </c>
      <c r="E59" t="s">
        <v>1122</v>
      </c>
      <c r="F59" s="5" t="s">
        <v>256</v>
      </c>
    </row>
    <row r="60" spans="1:6" x14ac:dyDescent="0.2">
      <c r="A60" t="str">
        <f t="shared" si="0"/>
        <v>catalog04_DK</v>
      </c>
      <c r="B60" t="s">
        <v>1123</v>
      </c>
      <c r="C60" t="s">
        <v>259</v>
      </c>
      <c r="E60" t="s">
        <v>1124</v>
      </c>
      <c r="F60" s="5" t="s">
        <v>260</v>
      </c>
    </row>
    <row r="61" spans="1:6" x14ac:dyDescent="0.2">
      <c r="A61" t="str">
        <f t="shared" si="0"/>
        <v>catalog04_DJ</v>
      </c>
      <c r="B61" t="s">
        <v>1125</v>
      </c>
      <c r="C61" t="s">
        <v>263</v>
      </c>
      <c r="E61" t="s">
        <v>1126</v>
      </c>
      <c r="F61" s="5" t="s">
        <v>264</v>
      </c>
    </row>
    <row r="62" spans="1:6" x14ac:dyDescent="0.2">
      <c r="A62" t="str">
        <f t="shared" si="0"/>
        <v>catalog04_DM</v>
      </c>
      <c r="B62" t="s">
        <v>1127</v>
      </c>
      <c r="C62" t="s">
        <v>265</v>
      </c>
      <c r="E62" t="s">
        <v>1128</v>
      </c>
      <c r="F62" s="5" t="s">
        <v>1129</v>
      </c>
    </row>
    <row r="63" spans="1:6" x14ac:dyDescent="0.2">
      <c r="A63" t="str">
        <f t="shared" si="0"/>
        <v>catalog04_DO</v>
      </c>
      <c r="B63" t="s">
        <v>1130</v>
      </c>
      <c r="C63" t="s">
        <v>1131</v>
      </c>
      <c r="E63" t="s">
        <v>1132</v>
      </c>
      <c r="F63" s="5" t="s">
        <v>269</v>
      </c>
    </row>
    <row r="64" spans="1:6" x14ac:dyDescent="0.2">
      <c r="A64" t="str">
        <f t="shared" si="0"/>
        <v>catalog04_EC</v>
      </c>
      <c r="B64" t="s">
        <v>1133</v>
      </c>
      <c r="C64" t="s">
        <v>270</v>
      </c>
      <c r="E64" t="s">
        <v>1134</v>
      </c>
      <c r="F64" s="5" t="s">
        <v>1135</v>
      </c>
    </row>
    <row r="65" spans="1:6" x14ac:dyDescent="0.2">
      <c r="A65" t="str">
        <f t="shared" si="0"/>
        <v>catalog04_EG</v>
      </c>
      <c r="B65" t="s">
        <v>1136</v>
      </c>
      <c r="C65" t="s">
        <v>273</v>
      </c>
      <c r="E65" t="s">
        <v>1137</v>
      </c>
      <c r="F65" s="5" t="s">
        <v>274</v>
      </c>
    </row>
    <row r="66" spans="1:6" x14ac:dyDescent="0.2">
      <c r="A66" t="str">
        <f t="shared" ref="A66:A129" si="1">CONCATENATE("catalog04_",B66)</f>
        <v>catalog04_SV</v>
      </c>
      <c r="B66" t="s">
        <v>1138</v>
      </c>
      <c r="C66" t="s">
        <v>277</v>
      </c>
      <c r="E66" t="s">
        <v>1139</v>
      </c>
      <c r="F66" s="5" t="s">
        <v>278</v>
      </c>
    </row>
    <row r="67" spans="1:6" x14ac:dyDescent="0.2">
      <c r="A67" t="str">
        <f t="shared" si="1"/>
        <v>catalog04_GQ</v>
      </c>
      <c r="B67" t="s">
        <v>1140</v>
      </c>
      <c r="C67" t="s">
        <v>279</v>
      </c>
      <c r="E67" t="s">
        <v>1141</v>
      </c>
      <c r="F67" s="5" t="s">
        <v>1142</v>
      </c>
    </row>
    <row r="68" spans="1:6" x14ac:dyDescent="0.2">
      <c r="A68" t="str">
        <f t="shared" si="1"/>
        <v>catalog04_ER</v>
      </c>
      <c r="B68" t="s">
        <v>1143</v>
      </c>
      <c r="C68" t="s">
        <v>282</v>
      </c>
      <c r="E68" t="s">
        <v>1144</v>
      </c>
      <c r="F68" s="5" t="s">
        <v>283</v>
      </c>
    </row>
    <row r="69" spans="1:6" x14ac:dyDescent="0.2">
      <c r="A69" t="str">
        <f t="shared" si="1"/>
        <v>catalog04_EE</v>
      </c>
      <c r="B69" t="s">
        <v>1145</v>
      </c>
      <c r="C69" t="s">
        <v>284</v>
      </c>
      <c r="E69" t="s">
        <v>1146</v>
      </c>
      <c r="F69" s="5" t="s">
        <v>1147</v>
      </c>
    </row>
    <row r="70" spans="1:6" x14ac:dyDescent="0.2">
      <c r="A70" t="str">
        <f t="shared" si="1"/>
        <v>catalog04_ET</v>
      </c>
      <c r="B70" t="s">
        <v>1148</v>
      </c>
      <c r="C70" t="s">
        <v>287</v>
      </c>
      <c r="E70" t="s">
        <v>1149</v>
      </c>
      <c r="F70" s="5" t="s">
        <v>1150</v>
      </c>
    </row>
    <row r="71" spans="1:6" x14ac:dyDescent="0.2">
      <c r="A71" t="str">
        <f t="shared" si="1"/>
        <v>catalog04_FK</v>
      </c>
      <c r="B71" t="s">
        <v>1151</v>
      </c>
      <c r="C71" t="s">
        <v>1152</v>
      </c>
      <c r="E71" t="s">
        <v>1153</v>
      </c>
      <c r="F71" s="5" t="s">
        <v>293</v>
      </c>
    </row>
    <row r="72" spans="1:6" x14ac:dyDescent="0.2">
      <c r="A72" t="str">
        <f t="shared" si="1"/>
        <v>catalog04_FO</v>
      </c>
      <c r="B72" t="s">
        <v>1154</v>
      </c>
      <c r="C72" t="s">
        <v>1155</v>
      </c>
      <c r="E72" t="s">
        <v>1156</v>
      </c>
      <c r="F72" s="5" t="s">
        <v>1157</v>
      </c>
    </row>
    <row r="73" spans="1:6" x14ac:dyDescent="0.2">
      <c r="A73" t="str">
        <f t="shared" si="1"/>
        <v>catalog04_FJ</v>
      </c>
      <c r="B73" t="s">
        <v>1158</v>
      </c>
      <c r="C73" t="s">
        <v>297</v>
      </c>
      <c r="E73" t="s">
        <v>1159</v>
      </c>
      <c r="F73" s="5" t="s">
        <v>298</v>
      </c>
    </row>
    <row r="74" spans="1:6" x14ac:dyDescent="0.2">
      <c r="A74" t="str">
        <f t="shared" si="1"/>
        <v>catalog04_FI</v>
      </c>
      <c r="B74" t="s">
        <v>1160</v>
      </c>
      <c r="C74" t="s">
        <v>299</v>
      </c>
      <c r="E74" t="s">
        <v>1161</v>
      </c>
      <c r="F74" s="5" t="s">
        <v>1162</v>
      </c>
    </row>
    <row r="75" spans="1:6" x14ac:dyDescent="0.2">
      <c r="A75" t="str">
        <f t="shared" si="1"/>
        <v>catalog04_FR</v>
      </c>
      <c r="B75" t="s">
        <v>1163</v>
      </c>
      <c r="C75" t="s">
        <v>300</v>
      </c>
      <c r="E75" t="s">
        <v>1164</v>
      </c>
      <c r="F75" s="5" t="s">
        <v>1165</v>
      </c>
    </row>
    <row r="76" spans="1:6" x14ac:dyDescent="0.2">
      <c r="A76" t="str">
        <f t="shared" si="1"/>
        <v>catalog04_GF</v>
      </c>
      <c r="B76" t="s">
        <v>1166</v>
      </c>
      <c r="C76" t="s">
        <v>301</v>
      </c>
      <c r="E76" t="s">
        <v>1167</v>
      </c>
      <c r="F76" s="5" t="s">
        <v>1168</v>
      </c>
    </row>
    <row r="77" spans="1:6" x14ac:dyDescent="0.2">
      <c r="A77" t="str">
        <f t="shared" si="1"/>
        <v>catalog04_PF</v>
      </c>
      <c r="B77" t="s">
        <v>926</v>
      </c>
      <c r="C77" t="s">
        <v>304</v>
      </c>
      <c r="E77" t="s">
        <v>1169</v>
      </c>
      <c r="F77" s="5" t="s">
        <v>1170</v>
      </c>
    </row>
    <row r="78" spans="1:6" x14ac:dyDescent="0.2">
      <c r="A78" t="str">
        <f t="shared" si="1"/>
        <v>catalog04_TF</v>
      </c>
      <c r="B78" t="s">
        <v>1171</v>
      </c>
      <c r="C78" t="s">
        <v>1172</v>
      </c>
      <c r="E78" t="s">
        <v>1173</v>
      </c>
      <c r="F78" s="5" t="s">
        <v>1174</v>
      </c>
    </row>
    <row r="79" spans="1:6" x14ac:dyDescent="0.2">
      <c r="A79" t="str">
        <f t="shared" si="1"/>
        <v>catalog04_GA</v>
      </c>
      <c r="B79" t="s">
        <v>1175</v>
      </c>
      <c r="C79" t="s">
        <v>307</v>
      </c>
      <c r="E79" t="s">
        <v>1176</v>
      </c>
      <c r="F79" s="5" t="s">
        <v>1177</v>
      </c>
    </row>
    <row r="80" spans="1:6" x14ac:dyDescent="0.2">
      <c r="A80" t="str">
        <f t="shared" si="1"/>
        <v>catalog04_GM</v>
      </c>
      <c r="B80" t="s">
        <v>1178</v>
      </c>
      <c r="C80" t="s">
        <v>1179</v>
      </c>
      <c r="E80" t="s">
        <v>1180</v>
      </c>
      <c r="F80" s="5" t="s">
        <v>311</v>
      </c>
    </row>
    <row r="81" spans="1:6" x14ac:dyDescent="0.2">
      <c r="A81" t="str">
        <f t="shared" si="1"/>
        <v>catalog04_GE</v>
      </c>
      <c r="B81" t="s">
        <v>1181</v>
      </c>
      <c r="C81" t="s">
        <v>314</v>
      </c>
      <c r="E81" t="s">
        <v>1182</v>
      </c>
      <c r="F81" s="5" t="s">
        <v>1183</v>
      </c>
    </row>
    <row r="82" spans="1:6" x14ac:dyDescent="0.2">
      <c r="A82" t="str">
        <f t="shared" si="1"/>
        <v>catalog04_DE</v>
      </c>
      <c r="B82" t="s">
        <v>1184</v>
      </c>
      <c r="C82" t="s">
        <v>316</v>
      </c>
      <c r="E82" t="s">
        <v>1185</v>
      </c>
      <c r="F82" s="5" t="s">
        <v>1186</v>
      </c>
    </row>
    <row r="83" spans="1:6" x14ac:dyDescent="0.2">
      <c r="A83" t="str">
        <f t="shared" si="1"/>
        <v>catalog04_GH</v>
      </c>
      <c r="B83" t="s">
        <v>1187</v>
      </c>
      <c r="C83" t="s">
        <v>319</v>
      </c>
      <c r="E83" t="s">
        <v>1188</v>
      </c>
      <c r="F83" s="5" t="s">
        <v>1189</v>
      </c>
    </row>
    <row r="84" spans="1:6" x14ac:dyDescent="0.2">
      <c r="A84" t="str">
        <f t="shared" si="1"/>
        <v>catalog04_GI</v>
      </c>
      <c r="B84" t="s">
        <v>1190</v>
      </c>
      <c r="C84" t="s">
        <v>323</v>
      </c>
      <c r="E84" t="s">
        <v>1191</v>
      </c>
      <c r="F84" s="5" t="s">
        <v>324</v>
      </c>
    </row>
    <row r="85" spans="1:6" x14ac:dyDescent="0.2">
      <c r="A85" t="str">
        <f t="shared" si="1"/>
        <v>catalog04_GR</v>
      </c>
      <c r="B85" t="s">
        <v>1192</v>
      </c>
      <c r="C85" t="s">
        <v>325</v>
      </c>
      <c r="E85" t="s">
        <v>1193</v>
      </c>
      <c r="F85" s="5" t="s">
        <v>1194</v>
      </c>
    </row>
    <row r="86" spans="1:6" x14ac:dyDescent="0.2">
      <c r="A86" t="str">
        <f t="shared" si="1"/>
        <v>catalog04_GL</v>
      </c>
      <c r="B86" t="s">
        <v>1195</v>
      </c>
      <c r="C86" t="s">
        <v>326</v>
      </c>
      <c r="E86" t="s">
        <v>1196</v>
      </c>
      <c r="F86" s="5" t="s">
        <v>1197</v>
      </c>
    </row>
    <row r="87" spans="1:6" x14ac:dyDescent="0.2">
      <c r="A87" t="str">
        <f t="shared" si="1"/>
        <v>catalog04_GD</v>
      </c>
      <c r="B87" t="s">
        <v>1198</v>
      </c>
      <c r="C87" t="s">
        <v>327</v>
      </c>
      <c r="E87" t="s">
        <v>1199</v>
      </c>
      <c r="F87" s="5" t="s">
        <v>1200</v>
      </c>
    </row>
    <row r="88" spans="1:6" x14ac:dyDescent="0.2">
      <c r="A88" t="str">
        <f t="shared" si="1"/>
        <v>catalog04_GP</v>
      </c>
      <c r="B88" t="s">
        <v>1201</v>
      </c>
      <c r="C88" t="s">
        <v>328</v>
      </c>
      <c r="E88" t="s">
        <v>1202</v>
      </c>
      <c r="F88" s="5" t="s">
        <v>1203</v>
      </c>
    </row>
    <row r="89" spans="1:6" x14ac:dyDescent="0.2">
      <c r="A89" t="str">
        <f t="shared" si="1"/>
        <v>catalog04_GU</v>
      </c>
      <c r="B89" t="s">
        <v>1204</v>
      </c>
      <c r="C89" t="s">
        <v>329</v>
      </c>
      <c r="E89" t="s">
        <v>1205</v>
      </c>
      <c r="F89" s="5" t="s">
        <v>1206</v>
      </c>
    </row>
    <row r="90" spans="1:6" x14ac:dyDescent="0.2">
      <c r="A90" t="str">
        <f t="shared" si="1"/>
        <v>catalog04_GT</v>
      </c>
      <c r="B90" t="s">
        <v>1207</v>
      </c>
      <c r="C90" t="s">
        <v>332</v>
      </c>
      <c r="E90" t="s">
        <v>1208</v>
      </c>
      <c r="F90" s="5" t="s">
        <v>333</v>
      </c>
    </row>
    <row r="91" spans="1:6" x14ac:dyDescent="0.2">
      <c r="A91" t="str">
        <f t="shared" si="1"/>
        <v>catalog04_GN</v>
      </c>
      <c r="B91" t="s">
        <v>1209</v>
      </c>
      <c r="C91" t="s">
        <v>340</v>
      </c>
      <c r="E91" t="s">
        <v>1210</v>
      </c>
      <c r="F91" s="5" t="s">
        <v>341</v>
      </c>
    </row>
    <row r="92" spans="1:6" x14ac:dyDescent="0.2">
      <c r="A92" t="str">
        <f t="shared" si="1"/>
        <v>catalog04_GW</v>
      </c>
      <c r="B92" t="s">
        <v>1211</v>
      </c>
      <c r="C92" t="s">
        <v>342</v>
      </c>
      <c r="E92" t="s">
        <v>1212</v>
      </c>
      <c r="F92" s="5" t="s">
        <v>1213</v>
      </c>
    </row>
    <row r="93" spans="1:6" x14ac:dyDescent="0.2">
      <c r="A93" t="str">
        <f t="shared" si="1"/>
        <v>catalog04_GY</v>
      </c>
      <c r="B93" t="s">
        <v>1214</v>
      </c>
      <c r="C93" t="s">
        <v>345</v>
      </c>
      <c r="E93" t="s">
        <v>1215</v>
      </c>
      <c r="F93" s="5" t="s">
        <v>346</v>
      </c>
    </row>
    <row r="94" spans="1:6" x14ac:dyDescent="0.2">
      <c r="A94" t="str">
        <f t="shared" si="1"/>
        <v>catalog04_HT</v>
      </c>
      <c r="B94" t="s">
        <v>1216</v>
      </c>
      <c r="C94" t="s">
        <v>349</v>
      </c>
      <c r="E94" t="s">
        <v>1217</v>
      </c>
      <c r="F94" s="5" t="s">
        <v>350</v>
      </c>
    </row>
    <row r="95" spans="1:6" x14ac:dyDescent="0.2">
      <c r="A95" t="str">
        <f t="shared" si="1"/>
        <v>catalog04_HM</v>
      </c>
      <c r="B95" t="s">
        <v>1218</v>
      </c>
      <c r="C95" t="s">
        <v>1219</v>
      </c>
      <c r="E95" t="s">
        <v>1220</v>
      </c>
      <c r="F95" s="5" t="s">
        <v>1221</v>
      </c>
    </row>
    <row r="96" spans="1:6" x14ac:dyDescent="0.2">
      <c r="A96" t="str">
        <f t="shared" si="1"/>
        <v>catalog04_HN</v>
      </c>
      <c r="B96" t="s">
        <v>1222</v>
      </c>
      <c r="C96" t="s">
        <v>355</v>
      </c>
      <c r="E96" t="s">
        <v>1223</v>
      </c>
      <c r="F96" s="5" t="s">
        <v>356</v>
      </c>
    </row>
    <row r="97" spans="1:6" x14ac:dyDescent="0.2">
      <c r="A97" t="str">
        <f t="shared" si="1"/>
        <v>catalog04_HK</v>
      </c>
      <c r="B97" t="s">
        <v>1224</v>
      </c>
      <c r="C97" t="s">
        <v>359</v>
      </c>
      <c r="E97" t="s">
        <v>1225</v>
      </c>
      <c r="F97" s="5" t="s">
        <v>360</v>
      </c>
    </row>
    <row r="98" spans="1:6" x14ac:dyDescent="0.2">
      <c r="A98" t="str">
        <f t="shared" si="1"/>
        <v>catalog04_HU</v>
      </c>
      <c r="B98" t="s">
        <v>1226</v>
      </c>
      <c r="C98" t="s">
        <v>363</v>
      </c>
      <c r="E98" t="s">
        <v>1227</v>
      </c>
      <c r="F98" s="5" t="s">
        <v>364</v>
      </c>
    </row>
    <row r="99" spans="1:6" x14ac:dyDescent="0.2">
      <c r="A99" t="str">
        <f t="shared" si="1"/>
        <v>catalog04_IS</v>
      </c>
      <c r="B99" t="s">
        <v>1228</v>
      </c>
      <c r="C99" t="s">
        <v>367</v>
      </c>
      <c r="E99" t="s">
        <v>1229</v>
      </c>
      <c r="F99" s="5" t="s">
        <v>368</v>
      </c>
    </row>
    <row r="100" spans="1:6" x14ac:dyDescent="0.2">
      <c r="A100" t="str">
        <f t="shared" si="1"/>
        <v>catalog04_IN</v>
      </c>
      <c r="B100" t="s">
        <v>1230</v>
      </c>
      <c r="C100" t="s">
        <v>369</v>
      </c>
      <c r="E100" t="s">
        <v>1231</v>
      </c>
      <c r="F100" s="5" t="s">
        <v>135</v>
      </c>
    </row>
    <row r="101" spans="1:6" x14ac:dyDescent="0.2">
      <c r="A101" t="str">
        <f t="shared" si="1"/>
        <v>catalog04_ID</v>
      </c>
      <c r="B101" t="s">
        <v>1232</v>
      </c>
      <c r="C101" t="s">
        <v>372</v>
      </c>
      <c r="E101" t="s">
        <v>1233</v>
      </c>
      <c r="F101" s="5" t="s">
        <v>373</v>
      </c>
    </row>
    <row r="102" spans="1:6" x14ac:dyDescent="0.2">
      <c r="A102" t="str">
        <f t="shared" si="1"/>
        <v>catalog04_IR</v>
      </c>
      <c r="B102" t="s">
        <v>1234</v>
      </c>
      <c r="C102" t="s">
        <v>380</v>
      </c>
      <c r="E102" t="s">
        <v>1235</v>
      </c>
      <c r="F102" s="5" t="s">
        <v>381</v>
      </c>
    </row>
    <row r="103" spans="1:6" x14ac:dyDescent="0.2">
      <c r="A103" t="str">
        <f t="shared" si="1"/>
        <v>catalog04_IQ</v>
      </c>
      <c r="B103" t="s">
        <v>1236</v>
      </c>
      <c r="C103" t="s">
        <v>384</v>
      </c>
      <c r="E103" t="s">
        <v>1237</v>
      </c>
      <c r="F103" s="5" t="s">
        <v>385</v>
      </c>
    </row>
    <row r="104" spans="1:6" x14ac:dyDescent="0.2">
      <c r="A104" t="str">
        <f t="shared" si="1"/>
        <v>catalog04_IE</v>
      </c>
      <c r="B104" t="s">
        <v>1238</v>
      </c>
      <c r="C104" t="s">
        <v>386</v>
      </c>
      <c r="E104" t="s">
        <v>1239</v>
      </c>
      <c r="F104" s="5" t="s">
        <v>1240</v>
      </c>
    </row>
    <row r="105" spans="1:6" x14ac:dyDescent="0.2">
      <c r="A105" t="str">
        <f t="shared" si="1"/>
        <v>catalog04_IL</v>
      </c>
      <c r="B105" t="s">
        <v>1241</v>
      </c>
      <c r="C105" t="s">
        <v>390</v>
      </c>
      <c r="E105" t="s">
        <v>1242</v>
      </c>
      <c r="F105" s="5" t="s">
        <v>391</v>
      </c>
    </row>
    <row r="106" spans="1:6" x14ac:dyDescent="0.2">
      <c r="A106" t="str">
        <f t="shared" si="1"/>
        <v>catalog04_IT</v>
      </c>
      <c r="B106" t="s">
        <v>1243</v>
      </c>
      <c r="C106" t="s">
        <v>392</v>
      </c>
      <c r="E106" t="s">
        <v>1244</v>
      </c>
      <c r="F106" s="5" t="s">
        <v>1245</v>
      </c>
    </row>
    <row r="107" spans="1:6" x14ac:dyDescent="0.2">
      <c r="A107" t="str">
        <f t="shared" si="1"/>
        <v>catalog04_JM</v>
      </c>
      <c r="B107" t="s">
        <v>1246</v>
      </c>
      <c r="C107" t="s">
        <v>395</v>
      </c>
      <c r="E107" t="s">
        <v>1247</v>
      </c>
      <c r="F107" s="5" t="s">
        <v>396</v>
      </c>
    </row>
    <row r="108" spans="1:6" x14ac:dyDescent="0.2">
      <c r="A108" t="str">
        <f t="shared" si="1"/>
        <v>catalog04_JP</v>
      </c>
      <c r="B108" t="s">
        <v>1248</v>
      </c>
      <c r="C108" t="s">
        <v>399</v>
      </c>
      <c r="E108" t="s">
        <v>1249</v>
      </c>
      <c r="F108" s="5" t="s">
        <v>400</v>
      </c>
    </row>
    <row r="109" spans="1:6" x14ac:dyDescent="0.2">
      <c r="A109" t="str">
        <f t="shared" si="1"/>
        <v>catalog04_JO</v>
      </c>
      <c r="B109" t="s">
        <v>1250</v>
      </c>
      <c r="C109" t="s">
        <v>404</v>
      </c>
      <c r="E109" t="s">
        <v>1251</v>
      </c>
      <c r="F109" s="5" t="s">
        <v>405</v>
      </c>
    </row>
    <row r="110" spans="1:6" x14ac:dyDescent="0.2">
      <c r="A110" t="str">
        <f t="shared" si="1"/>
        <v>catalog04_KZ</v>
      </c>
      <c r="B110" t="s">
        <v>1252</v>
      </c>
      <c r="C110" t="s">
        <v>408</v>
      </c>
      <c r="E110" t="s">
        <v>1253</v>
      </c>
      <c r="F110" s="5" t="s">
        <v>409</v>
      </c>
    </row>
    <row r="111" spans="1:6" x14ac:dyDescent="0.2">
      <c r="A111" t="str">
        <f t="shared" si="1"/>
        <v>catalog04_KE</v>
      </c>
      <c r="B111" t="s">
        <v>1254</v>
      </c>
      <c r="C111" t="s">
        <v>412</v>
      </c>
      <c r="E111" t="s">
        <v>1255</v>
      </c>
      <c r="F111" s="5" t="s">
        <v>413</v>
      </c>
    </row>
    <row r="112" spans="1:6" x14ac:dyDescent="0.2">
      <c r="A112" t="str">
        <f t="shared" si="1"/>
        <v>catalog04_KI</v>
      </c>
      <c r="B112" t="s">
        <v>1256</v>
      </c>
      <c r="C112" t="s">
        <v>414</v>
      </c>
      <c r="E112" t="s">
        <v>1257</v>
      </c>
      <c r="F112" s="5" t="s">
        <v>1258</v>
      </c>
    </row>
    <row r="113" spans="1:6" x14ac:dyDescent="0.2">
      <c r="A113" t="str">
        <f t="shared" si="1"/>
        <v>catalog04_KP</v>
      </c>
      <c r="B113" t="s">
        <v>1259</v>
      </c>
      <c r="C113" t="s">
        <v>1260</v>
      </c>
      <c r="E113" t="s">
        <v>1261</v>
      </c>
      <c r="F113" s="5" t="s">
        <v>418</v>
      </c>
    </row>
    <row r="114" spans="1:6" x14ac:dyDescent="0.2">
      <c r="A114" t="str">
        <f t="shared" si="1"/>
        <v>catalog04_KR</v>
      </c>
      <c r="B114" t="s">
        <v>1262</v>
      </c>
      <c r="C114" t="s">
        <v>1263</v>
      </c>
      <c r="E114" t="s">
        <v>1264</v>
      </c>
      <c r="F114" s="5" t="s">
        <v>422</v>
      </c>
    </row>
    <row r="115" spans="1:6" x14ac:dyDescent="0.2">
      <c r="A115" t="str">
        <f t="shared" si="1"/>
        <v>catalog04_KW</v>
      </c>
      <c r="B115" t="s">
        <v>1265</v>
      </c>
      <c r="C115" t="s">
        <v>425</v>
      </c>
      <c r="E115" t="s">
        <v>1266</v>
      </c>
      <c r="F115" s="5" t="s">
        <v>426</v>
      </c>
    </row>
    <row r="116" spans="1:6" x14ac:dyDescent="0.2">
      <c r="A116" t="str">
        <f t="shared" si="1"/>
        <v>catalog04_KG</v>
      </c>
      <c r="B116" t="s">
        <v>1267</v>
      </c>
      <c r="C116" t="s">
        <v>429</v>
      </c>
      <c r="E116" t="s">
        <v>1268</v>
      </c>
      <c r="F116" s="5" t="s">
        <v>430</v>
      </c>
    </row>
    <row r="117" spans="1:6" x14ac:dyDescent="0.2">
      <c r="A117" t="str">
        <f t="shared" si="1"/>
        <v>catalog04_LA</v>
      </c>
      <c r="B117" t="s">
        <v>1269</v>
      </c>
      <c r="C117" t="s">
        <v>1270</v>
      </c>
      <c r="E117" t="s">
        <v>1271</v>
      </c>
      <c r="F117" s="5" t="s">
        <v>434</v>
      </c>
    </row>
    <row r="118" spans="1:6" x14ac:dyDescent="0.2">
      <c r="A118" t="str">
        <f t="shared" si="1"/>
        <v>catalog04_LV</v>
      </c>
      <c r="B118" t="s">
        <v>1272</v>
      </c>
      <c r="C118" t="s">
        <v>435</v>
      </c>
      <c r="E118" t="s">
        <v>1273</v>
      </c>
      <c r="F118" s="5" t="s">
        <v>1274</v>
      </c>
    </row>
    <row r="119" spans="1:6" x14ac:dyDescent="0.2">
      <c r="A119" t="str">
        <f t="shared" si="1"/>
        <v>catalog04_LB</v>
      </c>
      <c r="B119" t="s">
        <v>1275</v>
      </c>
      <c r="C119" t="s">
        <v>438</v>
      </c>
      <c r="E119" t="s">
        <v>1276</v>
      </c>
      <c r="F119" s="5" t="s">
        <v>439</v>
      </c>
    </row>
    <row r="120" spans="1:6" x14ac:dyDescent="0.2">
      <c r="A120" t="str">
        <f t="shared" si="1"/>
        <v>catalog04_LS</v>
      </c>
      <c r="B120" t="s">
        <v>1277</v>
      </c>
      <c r="C120" t="s">
        <v>442</v>
      </c>
      <c r="E120" t="s">
        <v>1278</v>
      </c>
      <c r="F120" s="5" t="s">
        <v>443</v>
      </c>
    </row>
    <row r="121" spans="1:6" x14ac:dyDescent="0.2">
      <c r="A121" t="str">
        <f t="shared" si="1"/>
        <v>catalog04_LR</v>
      </c>
      <c r="B121" t="s">
        <v>1279</v>
      </c>
      <c r="C121" t="s">
        <v>449</v>
      </c>
      <c r="E121" t="s">
        <v>899</v>
      </c>
      <c r="F121" s="5" t="s">
        <v>450</v>
      </c>
    </row>
    <row r="122" spans="1:6" x14ac:dyDescent="0.2">
      <c r="A122" t="str">
        <f t="shared" si="1"/>
        <v>catalog04_LY</v>
      </c>
      <c r="B122" t="s">
        <v>1280</v>
      </c>
      <c r="C122" t="s">
        <v>1281</v>
      </c>
      <c r="E122" t="s">
        <v>1282</v>
      </c>
      <c r="F122" s="5" t="s">
        <v>454</v>
      </c>
    </row>
    <row r="123" spans="1:6" x14ac:dyDescent="0.2">
      <c r="A123" t="str">
        <f t="shared" si="1"/>
        <v>catalog04_LI</v>
      </c>
      <c r="B123" t="s">
        <v>1283</v>
      </c>
      <c r="C123" t="s">
        <v>457</v>
      </c>
      <c r="E123" t="s">
        <v>1284</v>
      </c>
      <c r="F123" s="5" t="s">
        <v>1285</v>
      </c>
    </row>
    <row r="124" spans="1:6" x14ac:dyDescent="0.2">
      <c r="A124" t="str">
        <f t="shared" si="1"/>
        <v>catalog04_LT</v>
      </c>
      <c r="B124" t="s">
        <v>1286</v>
      </c>
      <c r="C124" t="s">
        <v>459</v>
      </c>
      <c r="E124" t="s">
        <v>1287</v>
      </c>
      <c r="F124" s="5" t="s">
        <v>1288</v>
      </c>
    </row>
    <row r="125" spans="1:6" x14ac:dyDescent="0.2">
      <c r="A125" t="str">
        <f t="shared" si="1"/>
        <v>catalog04_LU</v>
      </c>
      <c r="B125" t="s">
        <v>1289</v>
      </c>
      <c r="C125" t="s">
        <v>460</v>
      </c>
      <c r="E125" t="s">
        <v>1290</v>
      </c>
      <c r="F125" s="5" t="s">
        <v>1291</v>
      </c>
    </row>
    <row r="126" spans="1:6" x14ac:dyDescent="0.2">
      <c r="A126" t="str">
        <f t="shared" si="1"/>
        <v>catalog04_MO</v>
      </c>
      <c r="B126" t="s">
        <v>1292</v>
      </c>
      <c r="C126" t="s">
        <v>1293</v>
      </c>
      <c r="E126" t="s">
        <v>1294</v>
      </c>
      <c r="F126" s="5" t="s">
        <v>464</v>
      </c>
    </row>
    <row r="127" spans="1:6" x14ac:dyDescent="0.2">
      <c r="A127" t="str">
        <f t="shared" si="1"/>
        <v>catalog04_MK</v>
      </c>
      <c r="B127" t="s">
        <v>1295</v>
      </c>
      <c r="C127" t="s">
        <v>1296</v>
      </c>
      <c r="E127" t="s">
        <v>465</v>
      </c>
      <c r="F127" s="5" t="s">
        <v>468</v>
      </c>
    </row>
    <row r="128" spans="1:6" x14ac:dyDescent="0.2">
      <c r="A128" t="str">
        <f t="shared" si="1"/>
        <v>catalog04_MG</v>
      </c>
      <c r="B128" t="s">
        <v>1297</v>
      </c>
      <c r="C128" t="s">
        <v>471</v>
      </c>
      <c r="E128" t="s">
        <v>1298</v>
      </c>
      <c r="F128" s="5" t="s">
        <v>1299</v>
      </c>
    </row>
    <row r="129" spans="1:6" x14ac:dyDescent="0.2">
      <c r="A129" t="str">
        <f t="shared" si="1"/>
        <v>catalog04_MW</v>
      </c>
      <c r="B129" t="s">
        <v>1300</v>
      </c>
      <c r="C129" t="s">
        <v>475</v>
      </c>
      <c r="E129" t="s">
        <v>1301</v>
      </c>
      <c r="F129" s="5" t="s">
        <v>476</v>
      </c>
    </row>
    <row r="130" spans="1:6" x14ac:dyDescent="0.2">
      <c r="A130" t="str">
        <f t="shared" ref="A130:A193" si="2">CONCATENATE("catalog04_",B130)</f>
        <v>catalog04_MY</v>
      </c>
      <c r="B130" t="s">
        <v>1302</v>
      </c>
      <c r="C130" t="s">
        <v>479</v>
      </c>
      <c r="E130" t="s">
        <v>1303</v>
      </c>
      <c r="F130" s="5" t="s">
        <v>480</v>
      </c>
    </row>
    <row r="131" spans="1:6" x14ac:dyDescent="0.2">
      <c r="A131" t="str">
        <f t="shared" si="2"/>
        <v>catalog04_MV</v>
      </c>
      <c r="B131" t="s">
        <v>1304</v>
      </c>
      <c r="C131" t="s">
        <v>483</v>
      </c>
      <c r="E131" t="s">
        <v>1305</v>
      </c>
      <c r="F131" s="5" t="s">
        <v>484</v>
      </c>
    </row>
    <row r="132" spans="1:6" x14ac:dyDescent="0.2">
      <c r="A132" t="str">
        <f t="shared" si="2"/>
        <v>catalog04_ML</v>
      </c>
      <c r="B132" t="s">
        <v>1306</v>
      </c>
      <c r="C132" t="s">
        <v>485</v>
      </c>
      <c r="E132" t="s">
        <v>1307</v>
      </c>
      <c r="F132" s="5" t="s">
        <v>1308</v>
      </c>
    </row>
    <row r="133" spans="1:6" x14ac:dyDescent="0.2">
      <c r="A133" t="str">
        <f t="shared" si="2"/>
        <v>catalog04_MT</v>
      </c>
      <c r="B133" t="s">
        <v>1309</v>
      </c>
      <c r="C133" t="s">
        <v>486</v>
      </c>
      <c r="E133" t="s">
        <v>913</v>
      </c>
      <c r="F133" s="5" t="s">
        <v>1310</v>
      </c>
    </row>
    <row r="134" spans="1:6" x14ac:dyDescent="0.2">
      <c r="A134" t="str">
        <f t="shared" si="2"/>
        <v>catalog04_MH</v>
      </c>
      <c r="B134" t="s">
        <v>1311</v>
      </c>
      <c r="C134" t="s">
        <v>1312</v>
      </c>
      <c r="E134" t="s">
        <v>1313</v>
      </c>
      <c r="F134" s="5" t="s">
        <v>1314</v>
      </c>
    </row>
    <row r="135" spans="1:6" x14ac:dyDescent="0.2">
      <c r="A135" t="str">
        <f t="shared" si="2"/>
        <v>catalog04_MQ</v>
      </c>
      <c r="B135" t="s">
        <v>1315</v>
      </c>
      <c r="C135" t="s">
        <v>488</v>
      </c>
      <c r="E135" t="s">
        <v>909</v>
      </c>
      <c r="F135" s="5" t="s">
        <v>1316</v>
      </c>
    </row>
    <row r="136" spans="1:6" x14ac:dyDescent="0.2">
      <c r="A136" t="str">
        <f t="shared" si="2"/>
        <v>catalog04_MR</v>
      </c>
      <c r="B136" t="s">
        <v>1317</v>
      </c>
      <c r="C136" t="s">
        <v>491</v>
      </c>
      <c r="E136" t="s">
        <v>1318</v>
      </c>
      <c r="F136" s="5" t="s">
        <v>1319</v>
      </c>
    </row>
    <row r="137" spans="1:6" x14ac:dyDescent="0.2">
      <c r="A137" t="str">
        <f t="shared" si="2"/>
        <v>catalog04_MU</v>
      </c>
      <c r="B137" t="s">
        <v>1320</v>
      </c>
      <c r="C137" t="s">
        <v>495</v>
      </c>
      <c r="E137" t="s">
        <v>1321</v>
      </c>
      <c r="F137" s="5" t="s">
        <v>496</v>
      </c>
    </row>
    <row r="138" spans="1:6" x14ac:dyDescent="0.2">
      <c r="A138" t="str">
        <f t="shared" si="2"/>
        <v>catalog04_YT</v>
      </c>
      <c r="B138" t="s">
        <v>1322</v>
      </c>
      <c r="C138" t="s">
        <v>497</v>
      </c>
      <c r="E138" t="s">
        <v>1323</v>
      </c>
      <c r="F138" s="5" t="s">
        <v>1324</v>
      </c>
    </row>
    <row r="139" spans="1:6" x14ac:dyDescent="0.2">
      <c r="A139" t="str">
        <f t="shared" si="2"/>
        <v>catalog04_MX</v>
      </c>
      <c r="B139" t="s">
        <v>1325</v>
      </c>
      <c r="C139" t="s">
        <v>504</v>
      </c>
      <c r="E139" t="s">
        <v>1326</v>
      </c>
      <c r="F139" s="5" t="s">
        <v>505</v>
      </c>
    </row>
    <row r="140" spans="1:6" x14ac:dyDescent="0.2">
      <c r="A140" t="str">
        <f t="shared" si="2"/>
        <v>catalog04_FM</v>
      </c>
      <c r="B140" t="s">
        <v>1327</v>
      </c>
      <c r="C140" t="s">
        <v>1328</v>
      </c>
      <c r="E140" t="s">
        <v>1329</v>
      </c>
      <c r="F140" s="5" t="s">
        <v>1330</v>
      </c>
    </row>
    <row r="141" spans="1:6" x14ac:dyDescent="0.2">
      <c r="A141" t="str">
        <f t="shared" si="2"/>
        <v>catalog04_MD</v>
      </c>
      <c r="B141" t="s">
        <v>1331</v>
      </c>
      <c r="C141" t="s">
        <v>1332</v>
      </c>
      <c r="E141" t="s">
        <v>1333</v>
      </c>
      <c r="F141" s="5" t="s">
        <v>513</v>
      </c>
    </row>
    <row r="142" spans="1:6" x14ac:dyDescent="0.2">
      <c r="A142" t="str">
        <f t="shared" si="2"/>
        <v>catalog04_MC</v>
      </c>
      <c r="B142" t="s">
        <v>1334</v>
      </c>
      <c r="C142" t="s">
        <v>514</v>
      </c>
      <c r="E142" t="s">
        <v>1335</v>
      </c>
      <c r="F142" s="5" t="s">
        <v>1336</v>
      </c>
    </row>
    <row r="143" spans="1:6" x14ac:dyDescent="0.2">
      <c r="A143" t="str">
        <f t="shared" si="2"/>
        <v>catalog04_MN</v>
      </c>
      <c r="B143" t="s">
        <v>1337</v>
      </c>
      <c r="C143" t="s">
        <v>517</v>
      </c>
      <c r="E143" t="s">
        <v>1338</v>
      </c>
      <c r="F143" s="5" t="s">
        <v>518</v>
      </c>
    </row>
    <row r="144" spans="1:6" x14ac:dyDescent="0.2">
      <c r="A144" t="str">
        <f t="shared" si="2"/>
        <v>catalog04_MS</v>
      </c>
      <c r="B144" t="s">
        <v>1339</v>
      </c>
      <c r="C144" t="s">
        <v>520</v>
      </c>
      <c r="E144" t="s">
        <v>1340</v>
      </c>
      <c r="F144" s="5" t="s">
        <v>1341</v>
      </c>
    </row>
    <row r="145" spans="1:6" x14ac:dyDescent="0.2">
      <c r="A145" t="str">
        <f t="shared" si="2"/>
        <v>catalog04_MA</v>
      </c>
      <c r="B145" t="s">
        <v>1342</v>
      </c>
      <c r="C145" t="s">
        <v>523</v>
      </c>
      <c r="E145" t="s">
        <v>1343</v>
      </c>
      <c r="F145" s="5" t="s">
        <v>524</v>
      </c>
    </row>
    <row r="146" spans="1:6" x14ac:dyDescent="0.2">
      <c r="A146" t="str">
        <f t="shared" si="2"/>
        <v>catalog04_MZ</v>
      </c>
      <c r="B146" t="s">
        <v>1344</v>
      </c>
      <c r="C146" t="s">
        <v>527</v>
      </c>
      <c r="E146" t="s">
        <v>1345</v>
      </c>
      <c r="F146" s="5" t="s">
        <v>1346</v>
      </c>
    </row>
    <row r="147" spans="1:6" x14ac:dyDescent="0.2">
      <c r="A147" t="str">
        <f t="shared" si="2"/>
        <v>catalog04_MM</v>
      </c>
      <c r="B147" t="s">
        <v>1347</v>
      </c>
      <c r="C147" t="s">
        <v>531</v>
      </c>
      <c r="E147" t="s">
        <v>1348</v>
      </c>
      <c r="F147" s="5" t="s">
        <v>532</v>
      </c>
    </row>
    <row r="148" spans="1:6" x14ac:dyDescent="0.2">
      <c r="A148" t="str">
        <f t="shared" si="2"/>
        <v>catalog04_NA</v>
      </c>
      <c r="B148" t="s">
        <v>1349</v>
      </c>
      <c r="C148" t="s">
        <v>535</v>
      </c>
      <c r="E148" t="s">
        <v>1350</v>
      </c>
      <c r="F148" s="5" t="s">
        <v>536</v>
      </c>
    </row>
    <row r="149" spans="1:6" x14ac:dyDescent="0.2">
      <c r="A149" t="str">
        <f t="shared" si="2"/>
        <v>catalog04_NR</v>
      </c>
      <c r="B149" t="s">
        <v>1351</v>
      </c>
      <c r="C149" t="s">
        <v>537</v>
      </c>
      <c r="E149" t="s">
        <v>1352</v>
      </c>
      <c r="F149" s="5" t="s">
        <v>1353</v>
      </c>
    </row>
    <row r="150" spans="1:6" x14ac:dyDescent="0.2">
      <c r="A150" t="str">
        <f t="shared" si="2"/>
        <v>catalog04_NP</v>
      </c>
      <c r="B150" t="s">
        <v>1354</v>
      </c>
      <c r="C150" t="s">
        <v>540</v>
      </c>
      <c r="E150" t="s">
        <v>1355</v>
      </c>
      <c r="F150" s="5" t="s">
        <v>541</v>
      </c>
    </row>
    <row r="151" spans="1:6" x14ac:dyDescent="0.2">
      <c r="A151" t="str">
        <f t="shared" si="2"/>
        <v>catalog04_NL</v>
      </c>
      <c r="B151" t="s">
        <v>1356</v>
      </c>
      <c r="C151" t="s">
        <v>1357</v>
      </c>
      <c r="E151" t="s">
        <v>1358</v>
      </c>
      <c r="F151" s="5" t="s">
        <v>1359</v>
      </c>
    </row>
    <row r="152" spans="1:6" x14ac:dyDescent="0.2">
      <c r="A152" t="str">
        <f t="shared" si="2"/>
        <v>catalog04_AN</v>
      </c>
      <c r="B152" t="s">
        <v>1360</v>
      </c>
      <c r="C152" t="s">
        <v>1361</v>
      </c>
      <c r="E152" t="s">
        <v>1362</v>
      </c>
      <c r="F152" s="5" t="s">
        <v>1363</v>
      </c>
    </row>
    <row r="153" spans="1:6" x14ac:dyDescent="0.2">
      <c r="A153" t="str">
        <f t="shared" si="2"/>
        <v>catalog04_NC</v>
      </c>
      <c r="B153" t="s">
        <v>1364</v>
      </c>
      <c r="C153" t="s">
        <v>543</v>
      </c>
      <c r="E153" t="s">
        <v>1365</v>
      </c>
      <c r="F153" s="5" t="s">
        <v>1366</v>
      </c>
    </row>
    <row r="154" spans="1:6" x14ac:dyDescent="0.2">
      <c r="A154" t="str">
        <f t="shared" si="2"/>
        <v>catalog04_NZ</v>
      </c>
      <c r="B154" t="s">
        <v>1367</v>
      </c>
      <c r="C154" t="s">
        <v>544</v>
      </c>
      <c r="E154" t="s">
        <v>1368</v>
      </c>
      <c r="F154" s="5" t="s">
        <v>231</v>
      </c>
    </row>
    <row r="155" spans="1:6" x14ac:dyDescent="0.2">
      <c r="A155" t="str">
        <f t="shared" si="2"/>
        <v>catalog04_NI</v>
      </c>
      <c r="B155" t="s">
        <v>1369</v>
      </c>
      <c r="C155" t="s">
        <v>547</v>
      </c>
      <c r="E155" t="s">
        <v>1370</v>
      </c>
      <c r="F155" s="5" t="s">
        <v>548</v>
      </c>
    </row>
    <row r="156" spans="1:6" x14ac:dyDescent="0.2">
      <c r="A156" t="str">
        <f t="shared" si="2"/>
        <v>catalog04_NE</v>
      </c>
      <c r="B156" t="s">
        <v>1371</v>
      </c>
      <c r="C156" t="s">
        <v>1372</v>
      </c>
      <c r="E156" t="s">
        <v>1373</v>
      </c>
      <c r="F156" s="5" t="s">
        <v>1374</v>
      </c>
    </row>
    <row r="157" spans="1:6" x14ac:dyDescent="0.2">
      <c r="A157" t="str">
        <f t="shared" si="2"/>
        <v>catalog04_NG</v>
      </c>
      <c r="B157" t="s">
        <v>1375</v>
      </c>
      <c r="C157" t="s">
        <v>552</v>
      </c>
      <c r="E157" t="s">
        <v>1376</v>
      </c>
      <c r="F157" s="5" t="s">
        <v>553</v>
      </c>
    </row>
    <row r="158" spans="1:6" x14ac:dyDescent="0.2">
      <c r="A158" t="str">
        <f t="shared" si="2"/>
        <v>catalog04_NU</v>
      </c>
      <c r="B158" t="s">
        <v>1377</v>
      </c>
      <c r="C158" t="s">
        <v>554</v>
      </c>
      <c r="E158" t="s">
        <v>957</v>
      </c>
      <c r="F158" s="5" t="s">
        <v>1378</v>
      </c>
    </row>
    <row r="159" spans="1:6" x14ac:dyDescent="0.2">
      <c r="A159" t="str">
        <f t="shared" si="2"/>
        <v>catalog04_NF</v>
      </c>
      <c r="B159" t="s">
        <v>1379</v>
      </c>
      <c r="C159" t="s">
        <v>555</v>
      </c>
      <c r="E159" t="s">
        <v>1380</v>
      </c>
      <c r="F159" s="5" t="s">
        <v>1381</v>
      </c>
    </row>
    <row r="160" spans="1:6" x14ac:dyDescent="0.2">
      <c r="A160" t="str">
        <f t="shared" si="2"/>
        <v>catalog04_MP</v>
      </c>
      <c r="B160" t="s">
        <v>1382</v>
      </c>
      <c r="C160" t="s">
        <v>1383</v>
      </c>
      <c r="E160" t="s">
        <v>1384</v>
      </c>
      <c r="F160" s="5" t="s">
        <v>1385</v>
      </c>
    </row>
    <row r="161" spans="1:6" x14ac:dyDescent="0.2">
      <c r="A161" t="str">
        <f t="shared" si="2"/>
        <v>catalog04_NO</v>
      </c>
      <c r="B161" t="s">
        <v>1386</v>
      </c>
      <c r="C161" t="s">
        <v>557</v>
      </c>
      <c r="E161" t="s">
        <v>1387</v>
      </c>
      <c r="F161" s="5" t="s">
        <v>158</v>
      </c>
    </row>
    <row r="162" spans="1:6" x14ac:dyDescent="0.2">
      <c r="A162" t="str">
        <f t="shared" si="2"/>
        <v>catalog04_OM</v>
      </c>
      <c r="B162" t="s">
        <v>1388</v>
      </c>
      <c r="C162" t="s">
        <v>560</v>
      </c>
      <c r="E162" t="s">
        <v>1389</v>
      </c>
      <c r="F162" s="5" t="s">
        <v>561</v>
      </c>
    </row>
    <row r="163" spans="1:6" x14ac:dyDescent="0.2">
      <c r="A163" t="str">
        <f t="shared" si="2"/>
        <v>catalog04_PK</v>
      </c>
      <c r="B163" t="s">
        <v>928</v>
      </c>
      <c r="C163" t="s">
        <v>564</v>
      </c>
      <c r="E163" t="s">
        <v>1390</v>
      </c>
      <c r="F163" s="5" t="s">
        <v>565</v>
      </c>
    </row>
    <row r="164" spans="1:6" x14ac:dyDescent="0.2">
      <c r="A164" t="str">
        <f t="shared" si="2"/>
        <v>catalog04_PW</v>
      </c>
      <c r="B164" t="s">
        <v>1391</v>
      </c>
      <c r="C164" t="s">
        <v>566</v>
      </c>
      <c r="E164" t="s">
        <v>1392</v>
      </c>
      <c r="F164" s="5" t="s">
        <v>1393</v>
      </c>
    </row>
    <row r="165" spans="1:6" x14ac:dyDescent="0.2">
      <c r="A165" t="str">
        <f t="shared" si="2"/>
        <v>catalog04_PS</v>
      </c>
      <c r="B165" t="s">
        <v>1394</v>
      </c>
      <c r="C165" t="s">
        <v>1395</v>
      </c>
      <c r="E165" t="s">
        <v>1396</v>
      </c>
      <c r="F165" s="5" t="s">
        <v>1397</v>
      </c>
    </row>
    <row r="166" spans="1:6" x14ac:dyDescent="0.2">
      <c r="A166" t="str">
        <f t="shared" si="2"/>
        <v>catalog04_PA</v>
      </c>
      <c r="B166" t="s">
        <v>1398</v>
      </c>
      <c r="C166" t="s">
        <v>569</v>
      </c>
      <c r="E166" t="s">
        <v>1399</v>
      </c>
      <c r="F166" s="5" t="s">
        <v>1400</v>
      </c>
    </row>
    <row r="167" spans="1:6" x14ac:dyDescent="0.2">
      <c r="A167" t="str">
        <f t="shared" si="2"/>
        <v>catalog04_PG</v>
      </c>
      <c r="B167" t="s">
        <v>940</v>
      </c>
      <c r="C167" t="s">
        <v>573</v>
      </c>
      <c r="E167" t="s">
        <v>1401</v>
      </c>
      <c r="F167" s="5" t="s">
        <v>574</v>
      </c>
    </row>
    <row r="168" spans="1:6" x14ac:dyDescent="0.2">
      <c r="A168" t="str">
        <f t="shared" si="2"/>
        <v>catalog04_PY</v>
      </c>
      <c r="B168" t="s">
        <v>1402</v>
      </c>
      <c r="C168" t="s">
        <v>577</v>
      </c>
      <c r="E168" t="s">
        <v>1403</v>
      </c>
      <c r="F168" s="5" t="s">
        <v>578</v>
      </c>
    </row>
    <row r="169" spans="1:6" x14ac:dyDescent="0.2">
      <c r="A169" t="str">
        <f t="shared" si="2"/>
        <v>catalog04_PE</v>
      </c>
      <c r="B169" t="s">
        <v>1404</v>
      </c>
      <c r="C169" t="s">
        <v>581</v>
      </c>
      <c r="E169" t="s">
        <v>1405</v>
      </c>
      <c r="F169" s="5" t="s">
        <v>582</v>
      </c>
    </row>
    <row r="170" spans="1:6" x14ac:dyDescent="0.2">
      <c r="A170" t="str">
        <f t="shared" si="2"/>
        <v>catalog04_PH</v>
      </c>
      <c r="B170" t="s">
        <v>1406</v>
      </c>
      <c r="C170" t="s">
        <v>1407</v>
      </c>
      <c r="E170" t="s">
        <v>1408</v>
      </c>
      <c r="F170" s="5" t="s">
        <v>586</v>
      </c>
    </row>
    <row r="171" spans="1:6" x14ac:dyDescent="0.2">
      <c r="A171" t="str">
        <f t="shared" si="2"/>
        <v>catalog04_PN</v>
      </c>
      <c r="B171" t="s">
        <v>1409</v>
      </c>
      <c r="C171" t="s">
        <v>587</v>
      </c>
      <c r="E171" t="s">
        <v>1410</v>
      </c>
      <c r="F171" s="5" t="s">
        <v>1411</v>
      </c>
    </row>
    <row r="172" spans="1:6" x14ac:dyDescent="0.2">
      <c r="A172" t="str">
        <f t="shared" si="2"/>
        <v>catalog04_PL</v>
      </c>
      <c r="B172" t="s">
        <v>1412</v>
      </c>
      <c r="C172" t="s">
        <v>590</v>
      </c>
      <c r="E172" t="s">
        <v>1413</v>
      </c>
      <c r="F172" s="5" t="s">
        <v>1414</v>
      </c>
    </row>
    <row r="173" spans="1:6" x14ac:dyDescent="0.2">
      <c r="A173" t="str">
        <f t="shared" si="2"/>
        <v>catalog04_PT</v>
      </c>
      <c r="B173" t="s">
        <v>1415</v>
      </c>
      <c r="C173" t="s">
        <v>592</v>
      </c>
      <c r="E173" t="s">
        <v>1416</v>
      </c>
      <c r="F173" s="5" t="s">
        <v>1417</v>
      </c>
    </row>
    <row r="174" spans="1:6" x14ac:dyDescent="0.2">
      <c r="A174" t="str">
        <f t="shared" si="2"/>
        <v>catalog04_PR</v>
      </c>
      <c r="B174" t="s">
        <v>930</v>
      </c>
      <c r="C174" t="s">
        <v>593</v>
      </c>
      <c r="E174" t="s">
        <v>1418</v>
      </c>
      <c r="F174" s="5" t="s">
        <v>1419</v>
      </c>
    </row>
    <row r="175" spans="1:6" x14ac:dyDescent="0.2">
      <c r="A175" t="str">
        <f t="shared" si="2"/>
        <v>catalog04_QA</v>
      </c>
      <c r="B175" t="s">
        <v>1420</v>
      </c>
      <c r="C175" t="s">
        <v>596</v>
      </c>
      <c r="E175" t="s">
        <v>1421</v>
      </c>
      <c r="F175" s="5" t="s">
        <v>597</v>
      </c>
    </row>
    <row r="176" spans="1:6" x14ac:dyDescent="0.2">
      <c r="A176" t="str">
        <f t="shared" si="2"/>
        <v>catalog04_RE</v>
      </c>
      <c r="B176" t="s">
        <v>1422</v>
      </c>
      <c r="C176" t="s">
        <v>1423</v>
      </c>
      <c r="E176" t="s">
        <v>1424</v>
      </c>
      <c r="F176" s="5" t="s">
        <v>1425</v>
      </c>
    </row>
    <row r="177" spans="1:6" x14ac:dyDescent="0.2">
      <c r="A177" t="str">
        <f t="shared" si="2"/>
        <v>catalog04_RO</v>
      </c>
      <c r="B177" t="s">
        <v>1426</v>
      </c>
      <c r="C177" t="s">
        <v>601</v>
      </c>
      <c r="E177" t="s">
        <v>1427</v>
      </c>
      <c r="F177" s="5" t="s">
        <v>1428</v>
      </c>
    </row>
    <row r="178" spans="1:6" x14ac:dyDescent="0.2">
      <c r="A178" t="str">
        <f t="shared" si="2"/>
        <v>catalog04_RU</v>
      </c>
      <c r="B178" t="s">
        <v>1429</v>
      </c>
      <c r="C178" t="s">
        <v>1430</v>
      </c>
      <c r="E178" t="s">
        <v>1431</v>
      </c>
      <c r="F178" s="5" t="s">
        <v>606</v>
      </c>
    </row>
    <row r="179" spans="1:6" x14ac:dyDescent="0.2">
      <c r="A179" t="str">
        <f t="shared" si="2"/>
        <v>catalog04_RW</v>
      </c>
      <c r="B179" t="s">
        <v>1432</v>
      </c>
      <c r="C179" t="s">
        <v>609</v>
      </c>
      <c r="E179" t="s">
        <v>1433</v>
      </c>
      <c r="F179" s="5" t="s">
        <v>610</v>
      </c>
    </row>
    <row r="180" spans="1:6" x14ac:dyDescent="0.2">
      <c r="A180" t="str">
        <f t="shared" si="2"/>
        <v>catalog04_SH</v>
      </c>
      <c r="B180" t="s">
        <v>1434</v>
      </c>
      <c r="C180" t="s">
        <v>1435</v>
      </c>
      <c r="E180" t="s">
        <v>1436</v>
      </c>
      <c r="F180" s="5" t="s">
        <v>615</v>
      </c>
    </row>
    <row r="181" spans="1:6" x14ac:dyDescent="0.2">
      <c r="A181" t="str">
        <f t="shared" si="2"/>
        <v>catalog04_KN</v>
      </c>
      <c r="B181" t="s">
        <v>1437</v>
      </c>
      <c r="C181" t="s">
        <v>616</v>
      </c>
      <c r="E181" t="s">
        <v>1438</v>
      </c>
      <c r="F181" s="5" t="s">
        <v>1439</v>
      </c>
    </row>
    <row r="182" spans="1:6" x14ac:dyDescent="0.2">
      <c r="A182" t="str">
        <f t="shared" si="2"/>
        <v>catalog04_LC</v>
      </c>
      <c r="B182" t="s">
        <v>1440</v>
      </c>
      <c r="C182" t="s">
        <v>617</v>
      </c>
      <c r="E182" t="s">
        <v>1441</v>
      </c>
      <c r="F182" s="5" t="s">
        <v>1442</v>
      </c>
    </row>
    <row r="183" spans="1:6" x14ac:dyDescent="0.2">
      <c r="A183" t="str">
        <f t="shared" si="2"/>
        <v>catalog04_PM</v>
      </c>
      <c r="B183" t="s">
        <v>1443</v>
      </c>
      <c r="C183" t="s">
        <v>619</v>
      </c>
      <c r="E183" t="s">
        <v>1444</v>
      </c>
      <c r="F183" s="5" t="s">
        <v>1445</v>
      </c>
    </row>
    <row r="184" spans="1:6" x14ac:dyDescent="0.2">
      <c r="A184" t="str">
        <f t="shared" si="2"/>
        <v>catalog04_VC</v>
      </c>
      <c r="B184" t="s">
        <v>1446</v>
      </c>
      <c r="C184" t="s">
        <v>620</v>
      </c>
      <c r="E184" t="s">
        <v>1447</v>
      </c>
      <c r="F184" s="5" t="s">
        <v>1448</v>
      </c>
    </row>
    <row r="185" spans="1:6" x14ac:dyDescent="0.2">
      <c r="A185" t="str">
        <f t="shared" si="2"/>
        <v>catalog04_WS</v>
      </c>
      <c r="B185" t="s">
        <v>1449</v>
      </c>
      <c r="C185" t="s">
        <v>623</v>
      </c>
      <c r="E185" t="s">
        <v>1450</v>
      </c>
      <c r="F185" s="5" t="s">
        <v>624</v>
      </c>
    </row>
    <row r="186" spans="1:6" x14ac:dyDescent="0.2">
      <c r="A186" t="str">
        <f t="shared" si="2"/>
        <v>catalog04_SM</v>
      </c>
      <c r="B186" t="s">
        <v>1451</v>
      </c>
      <c r="C186" t="s">
        <v>625</v>
      </c>
      <c r="E186" t="s">
        <v>1452</v>
      </c>
      <c r="F186" s="5" t="s">
        <v>1453</v>
      </c>
    </row>
    <row r="187" spans="1:6" x14ac:dyDescent="0.2">
      <c r="A187" t="str">
        <f t="shared" si="2"/>
        <v>catalog04_ST</v>
      </c>
      <c r="B187" t="s">
        <v>942</v>
      </c>
      <c r="C187" t="s">
        <v>628</v>
      </c>
      <c r="E187" t="s">
        <v>1454</v>
      </c>
      <c r="F187" s="5" t="s">
        <v>1455</v>
      </c>
    </row>
    <row r="188" spans="1:6" x14ac:dyDescent="0.2">
      <c r="A188" t="str">
        <f t="shared" si="2"/>
        <v>catalog04_SA</v>
      </c>
      <c r="B188" t="s">
        <v>1456</v>
      </c>
      <c r="C188" t="s">
        <v>632</v>
      </c>
      <c r="E188" t="s">
        <v>1457</v>
      </c>
      <c r="F188" s="5" t="s">
        <v>633</v>
      </c>
    </row>
    <row r="189" spans="1:6" x14ac:dyDescent="0.2">
      <c r="A189" t="str">
        <f t="shared" si="2"/>
        <v>catalog04_SN</v>
      </c>
      <c r="B189" t="s">
        <v>1458</v>
      </c>
      <c r="C189" t="s">
        <v>634</v>
      </c>
      <c r="E189" t="s">
        <v>1459</v>
      </c>
      <c r="F189" s="5" t="s">
        <v>1460</v>
      </c>
    </row>
    <row r="190" spans="1:6" x14ac:dyDescent="0.2">
      <c r="A190" t="str">
        <f t="shared" si="2"/>
        <v>catalog04_CS</v>
      </c>
      <c r="B190" t="s">
        <v>1461</v>
      </c>
      <c r="C190" t="s">
        <v>1462</v>
      </c>
      <c r="E190" t="s">
        <v>1463</v>
      </c>
      <c r="F190" s="5" t="s">
        <v>1464</v>
      </c>
    </row>
    <row r="191" spans="1:6" x14ac:dyDescent="0.2">
      <c r="A191" t="str">
        <f t="shared" si="2"/>
        <v>catalog04_SC</v>
      </c>
      <c r="B191" t="s">
        <v>1465</v>
      </c>
      <c r="C191" t="s">
        <v>641</v>
      </c>
      <c r="E191" t="s">
        <v>1466</v>
      </c>
      <c r="F191" s="5" t="s">
        <v>642</v>
      </c>
    </row>
    <row r="192" spans="1:6" x14ac:dyDescent="0.2">
      <c r="A192" t="str">
        <f t="shared" si="2"/>
        <v>catalog04_SL</v>
      </c>
      <c r="B192" t="s">
        <v>1467</v>
      </c>
      <c r="C192" t="s">
        <v>645</v>
      </c>
      <c r="E192" t="s">
        <v>1468</v>
      </c>
      <c r="F192" s="5" t="s">
        <v>646</v>
      </c>
    </row>
    <row r="193" spans="1:6" x14ac:dyDescent="0.2">
      <c r="A193" t="str">
        <f t="shared" si="2"/>
        <v>catalog04_SG</v>
      </c>
      <c r="B193" t="s">
        <v>1469</v>
      </c>
      <c r="C193" t="s">
        <v>649</v>
      </c>
      <c r="E193" t="s">
        <v>1470</v>
      </c>
      <c r="F193" s="5" t="s">
        <v>650</v>
      </c>
    </row>
    <row r="194" spans="1:6" x14ac:dyDescent="0.2">
      <c r="A194" t="str">
        <f t="shared" ref="A194:A257" si="3">CONCATENATE("catalog04_",B194)</f>
        <v>catalog04_SK</v>
      </c>
      <c r="B194" t="s">
        <v>1471</v>
      </c>
      <c r="C194" t="s">
        <v>656</v>
      </c>
      <c r="E194" t="s">
        <v>1472</v>
      </c>
      <c r="F194" s="5" t="s">
        <v>1473</v>
      </c>
    </row>
    <row r="195" spans="1:6" x14ac:dyDescent="0.2">
      <c r="A195" t="str">
        <f t="shared" si="3"/>
        <v>catalog04_SI</v>
      </c>
      <c r="B195" t="s">
        <v>1474</v>
      </c>
      <c r="C195" t="s">
        <v>657</v>
      </c>
      <c r="E195" t="s">
        <v>1475</v>
      </c>
      <c r="F195" s="5" t="s">
        <v>1476</v>
      </c>
    </row>
    <row r="196" spans="1:6" x14ac:dyDescent="0.2">
      <c r="A196" t="str">
        <f t="shared" si="3"/>
        <v>catalog04_SB</v>
      </c>
      <c r="B196" t="s">
        <v>1477</v>
      </c>
      <c r="C196" t="s">
        <v>660</v>
      </c>
      <c r="E196" t="s">
        <v>1478</v>
      </c>
      <c r="F196" s="5" t="s">
        <v>661</v>
      </c>
    </row>
    <row r="197" spans="1:6" x14ac:dyDescent="0.2">
      <c r="A197" t="str">
        <f t="shared" si="3"/>
        <v>catalog04_SO</v>
      </c>
      <c r="B197" t="s">
        <v>1479</v>
      </c>
      <c r="C197" t="s">
        <v>664</v>
      </c>
      <c r="E197" t="s">
        <v>1480</v>
      </c>
      <c r="F197" s="5" t="s">
        <v>665</v>
      </c>
    </row>
    <row r="198" spans="1:6" x14ac:dyDescent="0.2">
      <c r="A198" t="str">
        <f t="shared" si="3"/>
        <v>catalog04_ZA</v>
      </c>
      <c r="B198" t="s">
        <v>1481</v>
      </c>
      <c r="C198" t="s">
        <v>666</v>
      </c>
      <c r="E198" t="s">
        <v>1482</v>
      </c>
      <c r="F198" s="5" t="s">
        <v>446</v>
      </c>
    </row>
    <row r="199" spans="1:6" x14ac:dyDescent="0.2">
      <c r="A199" t="str">
        <f t="shared" si="3"/>
        <v>catalog04_GS</v>
      </c>
      <c r="B199" t="s">
        <v>1483</v>
      </c>
      <c r="C199" t="s">
        <v>1484</v>
      </c>
      <c r="E199" t="s">
        <v>1485</v>
      </c>
      <c r="F199" s="5" t="s">
        <v>1486</v>
      </c>
    </row>
    <row r="200" spans="1:6" x14ac:dyDescent="0.2">
      <c r="A200" t="str">
        <f t="shared" si="3"/>
        <v>catalog04_ES</v>
      </c>
      <c r="B200" t="s">
        <v>1487</v>
      </c>
      <c r="C200" t="s">
        <v>671</v>
      </c>
      <c r="E200" t="s">
        <v>1488</v>
      </c>
      <c r="F200" s="5" t="s">
        <v>1489</v>
      </c>
    </row>
    <row r="201" spans="1:6" x14ac:dyDescent="0.2">
      <c r="A201" t="str">
        <f t="shared" si="3"/>
        <v>catalog04_LK</v>
      </c>
      <c r="B201" t="s">
        <v>1490</v>
      </c>
      <c r="C201" t="s">
        <v>674</v>
      </c>
      <c r="E201" t="s">
        <v>1491</v>
      </c>
      <c r="F201" s="5" t="s">
        <v>675</v>
      </c>
    </row>
    <row r="202" spans="1:6" x14ac:dyDescent="0.2">
      <c r="A202" t="str">
        <f t="shared" si="3"/>
        <v>catalog04_SD</v>
      </c>
      <c r="B202" t="s">
        <v>1492</v>
      </c>
      <c r="C202" t="s">
        <v>1493</v>
      </c>
      <c r="E202" t="s">
        <v>1494</v>
      </c>
      <c r="F202" s="5" t="s">
        <v>1495</v>
      </c>
    </row>
    <row r="203" spans="1:6" x14ac:dyDescent="0.2">
      <c r="A203" t="str">
        <f t="shared" si="3"/>
        <v>catalog04_SR</v>
      </c>
      <c r="B203" t="s">
        <v>1496</v>
      </c>
      <c r="C203" t="s">
        <v>682</v>
      </c>
      <c r="E203" t="s">
        <v>1497</v>
      </c>
      <c r="F203" s="5" t="s">
        <v>1498</v>
      </c>
    </row>
    <row r="204" spans="1:6" x14ac:dyDescent="0.2">
      <c r="A204" t="str">
        <f t="shared" si="3"/>
        <v>catalog04_SJ</v>
      </c>
      <c r="B204" t="s">
        <v>1499</v>
      </c>
      <c r="C204" t="s">
        <v>1500</v>
      </c>
      <c r="E204" t="s">
        <v>1501</v>
      </c>
      <c r="F204" s="5" t="s">
        <v>1502</v>
      </c>
    </row>
    <row r="205" spans="1:6" x14ac:dyDescent="0.2">
      <c r="A205" t="str">
        <f t="shared" si="3"/>
        <v>catalog04_SZ</v>
      </c>
      <c r="B205" t="s">
        <v>1503</v>
      </c>
      <c r="C205" t="s">
        <v>1504</v>
      </c>
      <c r="E205" t="s">
        <v>1505</v>
      </c>
      <c r="F205" s="5" t="s">
        <v>688</v>
      </c>
    </row>
    <row r="206" spans="1:6" x14ac:dyDescent="0.2">
      <c r="A206" t="str">
        <f t="shared" si="3"/>
        <v>catalog04_SE</v>
      </c>
      <c r="B206" t="s">
        <v>1506</v>
      </c>
      <c r="C206" t="s">
        <v>691</v>
      </c>
      <c r="E206" t="s">
        <v>1507</v>
      </c>
      <c r="F206" s="5" t="s">
        <v>692</v>
      </c>
    </row>
    <row r="207" spans="1:6" x14ac:dyDescent="0.2">
      <c r="A207" t="str">
        <f t="shared" si="3"/>
        <v>catalog04_CH</v>
      </c>
      <c r="B207" t="s">
        <v>1508</v>
      </c>
      <c r="C207" t="s">
        <v>693</v>
      </c>
      <c r="E207" t="s">
        <v>694</v>
      </c>
      <c r="F207" s="5" t="s">
        <v>458</v>
      </c>
    </row>
    <row r="208" spans="1:6" x14ac:dyDescent="0.2">
      <c r="A208" t="str">
        <f t="shared" si="3"/>
        <v>catalog04_SY</v>
      </c>
      <c r="B208" t="s">
        <v>1509</v>
      </c>
      <c r="C208" t="s">
        <v>702</v>
      </c>
      <c r="E208" t="s">
        <v>1510</v>
      </c>
      <c r="F208" s="5" t="s">
        <v>703</v>
      </c>
    </row>
    <row r="209" spans="1:6" x14ac:dyDescent="0.2">
      <c r="A209" t="str">
        <f t="shared" si="3"/>
        <v>catalog04_TW</v>
      </c>
      <c r="B209" t="s">
        <v>1511</v>
      </c>
      <c r="C209" t="s">
        <v>1512</v>
      </c>
      <c r="E209" t="s">
        <v>1513</v>
      </c>
      <c r="F209" s="5" t="s">
        <v>1514</v>
      </c>
    </row>
    <row r="210" spans="1:6" x14ac:dyDescent="0.2">
      <c r="A210" t="str">
        <f t="shared" si="3"/>
        <v>catalog04_TJ</v>
      </c>
      <c r="B210" t="s">
        <v>1515</v>
      </c>
      <c r="C210" t="s">
        <v>710</v>
      </c>
      <c r="E210" t="s">
        <v>1516</v>
      </c>
      <c r="F210" s="5" t="s">
        <v>1517</v>
      </c>
    </row>
    <row r="211" spans="1:6" x14ac:dyDescent="0.2">
      <c r="A211" t="str">
        <f t="shared" si="3"/>
        <v>catalog04_TZ</v>
      </c>
      <c r="B211" t="s">
        <v>1518</v>
      </c>
      <c r="C211" t="s">
        <v>714</v>
      </c>
      <c r="E211" t="s">
        <v>1519</v>
      </c>
      <c r="F211" s="5" t="s">
        <v>715</v>
      </c>
    </row>
    <row r="212" spans="1:6" x14ac:dyDescent="0.2">
      <c r="A212" t="str">
        <f t="shared" si="3"/>
        <v>catalog04_TH</v>
      </c>
      <c r="B212" t="s">
        <v>1520</v>
      </c>
      <c r="C212" t="s">
        <v>718</v>
      </c>
      <c r="E212" t="s">
        <v>1521</v>
      </c>
      <c r="F212" s="5" t="s">
        <v>719</v>
      </c>
    </row>
    <row r="213" spans="1:6" x14ac:dyDescent="0.2">
      <c r="A213" t="str">
        <f t="shared" si="3"/>
        <v>catalog04_TL</v>
      </c>
      <c r="B213" t="s">
        <v>1522</v>
      </c>
      <c r="C213" t="s">
        <v>720</v>
      </c>
      <c r="E213" t="s">
        <v>1523</v>
      </c>
      <c r="F213" s="5" t="s">
        <v>1524</v>
      </c>
    </row>
    <row r="214" spans="1:6" x14ac:dyDescent="0.2">
      <c r="A214" t="str">
        <f t="shared" si="3"/>
        <v>catalog04_TG</v>
      </c>
      <c r="B214" t="s">
        <v>1525</v>
      </c>
      <c r="C214" t="s">
        <v>721</v>
      </c>
      <c r="E214" t="s">
        <v>1526</v>
      </c>
      <c r="F214" s="5" t="s">
        <v>1527</v>
      </c>
    </row>
    <row r="215" spans="1:6" x14ac:dyDescent="0.2">
      <c r="A215" t="str">
        <f t="shared" si="3"/>
        <v>catalog04_TK</v>
      </c>
      <c r="B215" t="s">
        <v>1528</v>
      </c>
      <c r="C215" t="s">
        <v>722</v>
      </c>
      <c r="E215" t="s">
        <v>1529</v>
      </c>
      <c r="F215" s="5" t="s">
        <v>1530</v>
      </c>
    </row>
    <row r="216" spans="1:6" x14ac:dyDescent="0.2">
      <c r="A216" t="str">
        <f t="shared" si="3"/>
        <v>catalog04_TO</v>
      </c>
      <c r="B216" t="s">
        <v>1531</v>
      </c>
      <c r="C216" t="s">
        <v>725</v>
      </c>
      <c r="E216" t="s">
        <v>1532</v>
      </c>
      <c r="F216" s="5" t="s">
        <v>726</v>
      </c>
    </row>
    <row r="217" spans="1:6" x14ac:dyDescent="0.2">
      <c r="A217" t="str">
        <f t="shared" si="3"/>
        <v>catalog04_TT</v>
      </c>
      <c r="B217" t="s">
        <v>1533</v>
      </c>
      <c r="C217" t="s">
        <v>729</v>
      </c>
      <c r="E217" t="s">
        <v>1534</v>
      </c>
      <c r="F217" s="5" t="s">
        <v>730</v>
      </c>
    </row>
    <row r="218" spans="1:6" x14ac:dyDescent="0.2">
      <c r="A218" t="str">
        <f t="shared" si="3"/>
        <v>catalog04_TN</v>
      </c>
      <c r="B218" t="s">
        <v>1535</v>
      </c>
      <c r="C218" t="s">
        <v>733</v>
      </c>
      <c r="E218" t="s">
        <v>1536</v>
      </c>
      <c r="F218" s="5" t="s">
        <v>734</v>
      </c>
    </row>
    <row r="219" spans="1:6" x14ac:dyDescent="0.2">
      <c r="A219" t="str">
        <f t="shared" si="3"/>
        <v>catalog04_TR</v>
      </c>
      <c r="B219" t="s">
        <v>1537</v>
      </c>
      <c r="C219" t="s">
        <v>737</v>
      </c>
      <c r="E219" t="s">
        <v>1538</v>
      </c>
      <c r="F219" s="5" t="s">
        <v>1539</v>
      </c>
    </row>
    <row r="220" spans="1:6" x14ac:dyDescent="0.2">
      <c r="A220" t="str">
        <f t="shared" si="3"/>
        <v>catalog04_TM</v>
      </c>
      <c r="B220" t="s">
        <v>1540</v>
      </c>
      <c r="C220" t="s">
        <v>741</v>
      </c>
      <c r="E220" t="s">
        <v>1541</v>
      </c>
      <c r="F220" s="5" t="s">
        <v>1542</v>
      </c>
    </row>
    <row r="221" spans="1:6" x14ac:dyDescent="0.2">
      <c r="A221" t="str">
        <f t="shared" si="3"/>
        <v>catalog04_TC</v>
      </c>
      <c r="B221" t="s">
        <v>1543</v>
      </c>
      <c r="C221" t="s">
        <v>1544</v>
      </c>
      <c r="E221" t="s">
        <v>1545</v>
      </c>
      <c r="F221" s="5" t="s">
        <v>1546</v>
      </c>
    </row>
    <row r="222" spans="1:6" x14ac:dyDescent="0.2">
      <c r="A222" t="str">
        <f t="shared" si="3"/>
        <v>catalog04_TV</v>
      </c>
      <c r="B222" t="s">
        <v>1547</v>
      </c>
      <c r="C222" t="s">
        <v>744</v>
      </c>
      <c r="E222" t="s">
        <v>1548</v>
      </c>
      <c r="F222" s="5" t="s">
        <v>1549</v>
      </c>
    </row>
    <row r="223" spans="1:6" x14ac:dyDescent="0.2">
      <c r="A223" t="str">
        <f t="shared" si="3"/>
        <v>catalog04_UG</v>
      </c>
      <c r="B223" t="s">
        <v>1550</v>
      </c>
      <c r="C223" t="s">
        <v>747</v>
      </c>
      <c r="E223" t="s">
        <v>1551</v>
      </c>
      <c r="F223" s="5" t="s">
        <v>748</v>
      </c>
    </row>
    <row r="224" spans="1:6" x14ac:dyDescent="0.2">
      <c r="A224" t="str">
        <f t="shared" si="3"/>
        <v>catalog04_UA</v>
      </c>
      <c r="B224" t="s">
        <v>1552</v>
      </c>
      <c r="C224" t="s">
        <v>751</v>
      </c>
      <c r="E224" t="s">
        <v>1553</v>
      </c>
      <c r="F224" s="5" t="s">
        <v>1554</v>
      </c>
    </row>
    <row r="225" spans="1:6" x14ac:dyDescent="0.2">
      <c r="A225" t="str">
        <f t="shared" si="3"/>
        <v>catalog04_AE</v>
      </c>
      <c r="B225" t="s">
        <v>1555</v>
      </c>
      <c r="C225" t="s">
        <v>1556</v>
      </c>
      <c r="E225" t="s">
        <v>1557</v>
      </c>
      <c r="F225" s="5" t="s">
        <v>756</v>
      </c>
    </row>
    <row r="226" spans="1:6" x14ac:dyDescent="0.2">
      <c r="A226" t="str">
        <f t="shared" si="3"/>
        <v>catalog04_GB</v>
      </c>
      <c r="B226" t="s">
        <v>1558</v>
      </c>
      <c r="C226" t="s">
        <v>1559</v>
      </c>
      <c r="E226" t="s">
        <v>1560</v>
      </c>
      <c r="F226" s="5" t="s">
        <v>337</v>
      </c>
    </row>
    <row r="227" spans="1:6" x14ac:dyDescent="0.2">
      <c r="A227" t="str">
        <f t="shared" si="3"/>
        <v>catalog04_US</v>
      </c>
      <c r="B227" t="s">
        <v>1561</v>
      </c>
      <c r="C227" t="s">
        <v>1562</v>
      </c>
      <c r="E227" t="s">
        <v>1563</v>
      </c>
      <c r="F227" s="5" t="s">
        <v>67</v>
      </c>
    </row>
    <row r="228" spans="1:6" x14ac:dyDescent="0.2">
      <c r="A228" t="str">
        <f t="shared" si="3"/>
        <v>catalog04_UM</v>
      </c>
      <c r="B228" t="s">
        <v>922</v>
      </c>
      <c r="C228" t="s">
        <v>1564</v>
      </c>
      <c r="E228" t="s">
        <v>1565</v>
      </c>
      <c r="F228" s="5" t="s">
        <v>1566</v>
      </c>
    </row>
    <row r="229" spans="1:6" x14ac:dyDescent="0.2">
      <c r="A229" t="str">
        <f t="shared" si="3"/>
        <v>catalog04_UY</v>
      </c>
      <c r="B229" t="s">
        <v>1567</v>
      </c>
      <c r="C229" t="s">
        <v>765</v>
      </c>
      <c r="E229" t="s">
        <v>1568</v>
      </c>
      <c r="F229" s="5" t="s">
        <v>766</v>
      </c>
    </row>
    <row r="230" spans="1:6" x14ac:dyDescent="0.2">
      <c r="A230" t="str">
        <f t="shared" si="3"/>
        <v>catalog04_UZ</v>
      </c>
      <c r="B230" t="s">
        <v>1569</v>
      </c>
      <c r="C230" t="s">
        <v>775</v>
      </c>
      <c r="E230" t="s">
        <v>1570</v>
      </c>
      <c r="F230" s="5" t="s">
        <v>776</v>
      </c>
    </row>
    <row r="231" spans="1:6" x14ac:dyDescent="0.2">
      <c r="A231" t="str">
        <f t="shared" si="3"/>
        <v>catalog04_VU</v>
      </c>
      <c r="B231" t="s">
        <v>1571</v>
      </c>
      <c r="C231" t="s">
        <v>779</v>
      </c>
      <c r="E231" t="s">
        <v>1572</v>
      </c>
      <c r="F231" s="5" t="s">
        <v>780</v>
      </c>
    </row>
    <row r="232" spans="1:6" x14ac:dyDescent="0.2">
      <c r="A232" t="str">
        <f t="shared" si="3"/>
        <v>catalog04_VA</v>
      </c>
      <c r="B232" t="s">
        <v>1573</v>
      </c>
      <c r="C232" t="s">
        <v>1574</v>
      </c>
      <c r="E232" t="s">
        <v>1575</v>
      </c>
      <c r="F232" s="5" t="s">
        <v>1576</v>
      </c>
    </row>
    <row r="233" spans="1:6" x14ac:dyDescent="0.2">
      <c r="A233" t="str">
        <f t="shared" si="3"/>
        <v>catalog04_VE</v>
      </c>
      <c r="B233" t="s">
        <v>1577</v>
      </c>
      <c r="C233" t="s">
        <v>1578</v>
      </c>
      <c r="E233" t="s">
        <v>1579</v>
      </c>
      <c r="F233" s="5" t="s">
        <v>1580</v>
      </c>
    </row>
    <row r="234" spans="1:6" x14ac:dyDescent="0.2">
      <c r="A234" t="str">
        <f t="shared" si="3"/>
        <v>catalog04_VN</v>
      </c>
      <c r="B234" t="s">
        <v>1581</v>
      </c>
      <c r="C234" t="s">
        <v>787</v>
      </c>
      <c r="E234" t="s">
        <v>1582</v>
      </c>
      <c r="F234" s="5" t="s">
        <v>788</v>
      </c>
    </row>
    <row r="235" spans="1:6" x14ac:dyDescent="0.2">
      <c r="A235" t="str">
        <f t="shared" si="3"/>
        <v>catalog04_VG</v>
      </c>
      <c r="B235" t="s">
        <v>1583</v>
      </c>
      <c r="C235" t="s">
        <v>789</v>
      </c>
      <c r="E235" t="s">
        <v>1584</v>
      </c>
      <c r="F235" s="5" t="s">
        <v>1585</v>
      </c>
    </row>
    <row r="236" spans="1:6" x14ac:dyDescent="0.2">
      <c r="A236" t="str">
        <f t="shared" si="3"/>
        <v>catalog04_VI</v>
      </c>
      <c r="B236" t="s">
        <v>1586</v>
      </c>
      <c r="C236" t="s">
        <v>790</v>
      </c>
      <c r="E236" t="s">
        <v>1587</v>
      </c>
      <c r="F236" s="5" t="s">
        <v>1588</v>
      </c>
    </row>
    <row r="237" spans="1:6" x14ac:dyDescent="0.2">
      <c r="A237" t="str">
        <f t="shared" si="3"/>
        <v>catalog04_WF</v>
      </c>
      <c r="B237" t="s">
        <v>1589</v>
      </c>
      <c r="C237" t="s">
        <v>1590</v>
      </c>
      <c r="E237" t="s">
        <v>1591</v>
      </c>
      <c r="F237" s="5" t="s">
        <v>1592</v>
      </c>
    </row>
    <row r="238" spans="1:6" x14ac:dyDescent="0.2">
      <c r="A238" t="str">
        <f t="shared" si="3"/>
        <v>catalog04_EH</v>
      </c>
      <c r="B238" t="s">
        <v>1593</v>
      </c>
      <c r="C238" t="s">
        <v>792</v>
      </c>
      <c r="E238" t="s">
        <v>1594</v>
      </c>
      <c r="F238" s="5" t="s">
        <v>1595</v>
      </c>
    </row>
    <row r="239" spans="1:6" x14ac:dyDescent="0.2">
      <c r="A239" t="str">
        <f t="shared" si="3"/>
        <v>catalog04_YE</v>
      </c>
      <c r="B239" t="s">
        <v>1596</v>
      </c>
      <c r="C239" t="s">
        <v>795</v>
      </c>
      <c r="E239" t="s">
        <v>1597</v>
      </c>
      <c r="F239" s="5" t="s">
        <v>1598</v>
      </c>
    </row>
    <row r="240" spans="1:6" x14ac:dyDescent="0.2">
      <c r="A240" t="str">
        <f t="shared" si="3"/>
        <v>catalog04_ZM</v>
      </c>
      <c r="B240" t="s">
        <v>1599</v>
      </c>
      <c r="C240" t="s">
        <v>799</v>
      </c>
      <c r="E240" t="s">
        <v>1600</v>
      </c>
      <c r="F240" s="5" t="s">
        <v>1601</v>
      </c>
    </row>
    <row r="241" spans="1:6" x14ac:dyDescent="0.2">
      <c r="A241" t="str">
        <f t="shared" si="3"/>
        <v>catalog04_ZW</v>
      </c>
      <c r="B241" t="s">
        <v>1602</v>
      </c>
      <c r="C241" t="s">
        <v>803</v>
      </c>
      <c r="E241" t="s">
        <v>1603</v>
      </c>
      <c r="F241" s="5" t="s">
        <v>1604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Roman,Normal"&amp;12&amp;A</oddHeader>
    <oddFooter>&amp;C&amp;"Times New Roman,Normal"&amp;12Página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2"/>
  <sheetViews>
    <sheetView zoomScale="120" zoomScaleNormal="120" workbookViewId="0">
      <selection activeCell="B11" sqref="B11"/>
    </sheetView>
  </sheetViews>
  <sheetFormatPr baseColWidth="10" defaultColWidth="11.85546875" defaultRowHeight="12.75" x14ac:dyDescent="0.2"/>
  <cols>
    <col min="1" max="1" width="18.85546875" customWidth="1"/>
    <col min="3" max="3" width="14.85546875" customWidth="1"/>
    <col min="4" max="4" width="34" customWidth="1"/>
  </cols>
  <sheetData>
    <row r="1" spans="1:6" x14ac:dyDescent="0.2">
      <c r="A1" t="s">
        <v>0</v>
      </c>
      <c r="B1" t="s">
        <v>1</v>
      </c>
      <c r="C1" t="s">
        <v>2</v>
      </c>
      <c r="D1" s="1" t="s">
        <v>3</v>
      </c>
      <c r="E1" t="s">
        <v>1605</v>
      </c>
      <c r="F1" t="s">
        <v>1606</v>
      </c>
    </row>
    <row r="2" spans="1:6" x14ac:dyDescent="0.2">
      <c r="A2" t="str">
        <f t="shared" ref="A2:A11" si="0">CONCATENATE("catalog05_",B2)</f>
        <v>catalog05_1000</v>
      </c>
      <c r="B2" t="s">
        <v>1607</v>
      </c>
      <c r="C2" t="s">
        <v>1608</v>
      </c>
      <c r="E2" t="s">
        <v>1575</v>
      </c>
      <c r="F2" t="s">
        <v>1609</v>
      </c>
    </row>
    <row r="3" spans="1:6" x14ac:dyDescent="0.2">
      <c r="A3" t="str">
        <f t="shared" si="0"/>
        <v>catalog05_1016</v>
      </c>
      <c r="B3" t="s">
        <v>1610</v>
      </c>
      <c r="C3" t="s">
        <v>1611</v>
      </c>
      <c r="E3" t="s">
        <v>1575</v>
      </c>
      <c r="F3" t="s">
        <v>1612</v>
      </c>
    </row>
    <row r="4" spans="1:6" x14ac:dyDescent="0.2">
      <c r="A4" t="str">
        <f t="shared" si="0"/>
        <v>catalog05_2000</v>
      </c>
      <c r="B4" t="s">
        <v>1613</v>
      </c>
      <c r="C4" t="s">
        <v>1614</v>
      </c>
      <c r="E4" t="s">
        <v>1615</v>
      </c>
      <c r="F4" t="s">
        <v>1616</v>
      </c>
    </row>
    <row r="5" spans="1:6" x14ac:dyDescent="0.2">
      <c r="A5" t="str">
        <f t="shared" si="0"/>
        <v>catalog05_3000</v>
      </c>
      <c r="B5" t="s">
        <v>1617</v>
      </c>
      <c r="C5" t="s">
        <v>1618</v>
      </c>
      <c r="E5" t="s">
        <v>1619</v>
      </c>
      <c r="F5" t="s">
        <v>1234</v>
      </c>
    </row>
    <row r="6" spans="1:6" x14ac:dyDescent="0.2">
      <c r="A6" t="str">
        <f t="shared" si="0"/>
        <v>catalog05_7152</v>
      </c>
      <c r="B6" t="s">
        <v>1620</v>
      </c>
      <c r="C6" t="s">
        <v>1621</v>
      </c>
      <c r="E6" t="s">
        <v>1622</v>
      </c>
      <c r="F6" t="s">
        <v>1623</v>
      </c>
    </row>
    <row r="7" spans="1:6" x14ac:dyDescent="0.2">
      <c r="A7" t="str">
        <f t="shared" si="0"/>
        <v>catalog05_9995</v>
      </c>
      <c r="B7" t="s">
        <v>1624</v>
      </c>
      <c r="C7" t="s">
        <v>1625</v>
      </c>
      <c r="E7" t="s">
        <v>1626</v>
      </c>
      <c r="F7" t="s">
        <v>1627</v>
      </c>
    </row>
    <row r="8" spans="1:6" x14ac:dyDescent="0.2">
      <c r="A8" t="str">
        <f t="shared" si="0"/>
        <v>catalog05_9996</v>
      </c>
      <c r="B8" t="s">
        <v>1628</v>
      </c>
      <c r="C8" t="s">
        <v>1629</v>
      </c>
      <c r="E8" t="s">
        <v>1626</v>
      </c>
      <c r="F8" t="s">
        <v>1630</v>
      </c>
    </row>
    <row r="9" spans="1:6" x14ac:dyDescent="0.2">
      <c r="A9" t="str">
        <f t="shared" si="0"/>
        <v>catalog05_9997</v>
      </c>
      <c r="B9" t="s">
        <v>1631</v>
      </c>
      <c r="C9" t="s">
        <v>1632</v>
      </c>
      <c r="E9" t="s">
        <v>1575</v>
      </c>
      <c r="F9" t="s">
        <v>1633</v>
      </c>
    </row>
    <row r="10" spans="1:6" x14ac:dyDescent="0.2">
      <c r="A10" t="str">
        <f t="shared" si="0"/>
        <v>catalog05_9998</v>
      </c>
      <c r="B10" t="s">
        <v>1634</v>
      </c>
      <c r="C10" t="s">
        <v>1635</v>
      </c>
      <c r="E10" t="s">
        <v>1626</v>
      </c>
      <c r="F10" t="s">
        <v>1636</v>
      </c>
    </row>
    <row r="11" spans="1:6" x14ac:dyDescent="0.2">
      <c r="A11" t="str">
        <f t="shared" si="0"/>
        <v>catalog05_9999</v>
      </c>
      <c r="B11" t="s">
        <v>1637</v>
      </c>
      <c r="C11" t="s">
        <v>1638</v>
      </c>
      <c r="E11" t="s">
        <v>1622</v>
      </c>
      <c r="F11" t="s">
        <v>1639</v>
      </c>
    </row>
    <row r="14" spans="1:6" x14ac:dyDescent="0.2">
      <c r="B14" s="5"/>
      <c r="C14" s="5"/>
      <c r="D14" s="5"/>
      <c r="E14" s="5"/>
    </row>
    <row r="15" spans="1:6" x14ac:dyDescent="0.2">
      <c r="B15" s="5"/>
      <c r="C15" s="5"/>
      <c r="D15" s="5"/>
      <c r="E15" s="5"/>
    </row>
    <row r="16" spans="1:6" x14ac:dyDescent="0.2">
      <c r="B16" s="5"/>
      <c r="C16" s="5"/>
      <c r="D16" s="5"/>
      <c r="E16" s="5"/>
    </row>
    <row r="17" spans="2:5" x14ac:dyDescent="0.2">
      <c r="B17" s="5"/>
      <c r="C17" s="5"/>
      <c r="D17" s="5"/>
      <c r="E17" s="5"/>
    </row>
    <row r="18" spans="2:5" x14ac:dyDescent="0.2">
      <c r="B18" s="5"/>
      <c r="C18" s="5"/>
      <c r="D18" s="5"/>
      <c r="E18" s="5"/>
    </row>
    <row r="19" spans="2:5" x14ac:dyDescent="0.2">
      <c r="B19" s="5"/>
      <c r="C19" s="5"/>
      <c r="D19" s="5"/>
      <c r="E19" s="5"/>
    </row>
    <row r="20" spans="2:5" x14ac:dyDescent="0.2">
      <c r="B20" s="5"/>
      <c r="C20" s="5"/>
      <c r="D20" s="5"/>
      <c r="E20" s="5"/>
    </row>
    <row r="21" spans="2:5" x14ac:dyDescent="0.2">
      <c r="B21" s="5"/>
      <c r="C21" s="5"/>
      <c r="D21" s="5"/>
      <c r="E21" s="5"/>
    </row>
    <row r="22" spans="2:5" x14ac:dyDescent="0.2">
      <c r="B22" s="5"/>
      <c r="C22" s="5"/>
      <c r="D22" s="5"/>
      <c r="E22" s="5"/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Roman,Normal"&amp;12&amp;A</oddHeader>
    <oddFooter>&amp;C&amp;"Times New Roman,Normal"&amp;12Página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1"/>
  <sheetViews>
    <sheetView zoomScale="120" zoomScaleNormal="120" workbookViewId="0">
      <selection activeCell="C8" sqref="C8"/>
    </sheetView>
  </sheetViews>
  <sheetFormatPr baseColWidth="10" defaultColWidth="11.85546875" defaultRowHeight="12.75" x14ac:dyDescent="0.2"/>
  <cols>
    <col min="3" max="3" width="42.140625" customWidth="1"/>
  </cols>
  <sheetData>
    <row r="1" spans="1:5" x14ac:dyDescent="0.2">
      <c r="A1" t="s">
        <v>0</v>
      </c>
      <c r="B1" t="s">
        <v>1</v>
      </c>
      <c r="C1" t="s">
        <v>2</v>
      </c>
      <c r="D1" s="1" t="s">
        <v>3</v>
      </c>
      <c r="E1" t="s">
        <v>1640</v>
      </c>
    </row>
    <row r="2" spans="1:5" x14ac:dyDescent="0.2">
      <c r="A2" t="str">
        <f t="shared" ref="A2:A11" si="0">CONCATENATE("catalog06_",B2)</f>
        <v>catalog06_0</v>
      </c>
      <c r="B2" t="s">
        <v>1641</v>
      </c>
      <c r="C2" t="s">
        <v>1642</v>
      </c>
      <c r="E2" t="s">
        <v>1643</v>
      </c>
    </row>
    <row r="3" spans="1:5" x14ac:dyDescent="0.2">
      <c r="A3" t="str">
        <f t="shared" si="0"/>
        <v>catalog06_1</v>
      </c>
      <c r="B3" t="s">
        <v>1644</v>
      </c>
      <c r="C3" t="s">
        <v>1645</v>
      </c>
      <c r="E3" t="s">
        <v>1643</v>
      </c>
    </row>
    <row r="4" spans="1:5" x14ac:dyDescent="0.2">
      <c r="A4" t="str">
        <f t="shared" si="0"/>
        <v>catalog06_4</v>
      </c>
      <c r="B4" t="s">
        <v>1646</v>
      </c>
      <c r="C4" t="s">
        <v>1647</v>
      </c>
      <c r="E4" t="s">
        <v>1643</v>
      </c>
    </row>
    <row r="5" spans="1:5" x14ac:dyDescent="0.2">
      <c r="A5" t="str">
        <f t="shared" si="0"/>
        <v>catalog06_6</v>
      </c>
      <c r="B5" t="s">
        <v>1648</v>
      </c>
      <c r="C5" t="s">
        <v>1649</v>
      </c>
      <c r="E5" t="s">
        <v>1643</v>
      </c>
    </row>
    <row r="6" spans="1:5" x14ac:dyDescent="0.2">
      <c r="A6" t="str">
        <f t="shared" si="0"/>
        <v>catalog06_7</v>
      </c>
      <c r="B6" t="s">
        <v>1650</v>
      </c>
      <c r="C6" t="s">
        <v>1651</v>
      </c>
      <c r="E6" t="s">
        <v>1643</v>
      </c>
    </row>
    <row r="7" spans="1:5" x14ac:dyDescent="0.2">
      <c r="A7" t="str">
        <f t="shared" si="0"/>
        <v>catalog06_A</v>
      </c>
      <c r="B7" t="s">
        <v>1652</v>
      </c>
      <c r="C7" t="s">
        <v>1653</v>
      </c>
      <c r="E7" t="s">
        <v>1643</v>
      </c>
    </row>
    <row r="8" spans="1:5" x14ac:dyDescent="0.2">
      <c r="A8" t="str">
        <f t="shared" si="0"/>
        <v>catalog06_B</v>
      </c>
      <c r="B8" t="s">
        <v>1654</v>
      </c>
      <c r="C8" t="s">
        <v>1655</v>
      </c>
      <c r="E8" t="s">
        <v>1656</v>
      </c>
    </row>
    <row r="9" spans="1:5" x14ac:dyDescent="0.2">
      <c r="A9" t="str">
        <f t="shared" si="0"/>
        <v>catalog06_C</v>
      </c>
      <c r="B9" t="s">
        <v>1657</v>
      </c>
      <c r="C9" t="s">
        <v>1658</v>
      </c>
      <c r="E9" t="s">
        <v>1656</v>
      </c>
    </row>
    <row r="10" spans="1:5" x14ac:dyDescent="0.2">
      <c r="A10" t="str">
        <f t="shared" si="0"/>
        <v>catalog06_D</v>
      </c>
      <c r="B10" t="s">
        <v>1659</v>
      </c>
      <c r="C10" t="s">
        <v>1660</v>
      </c>
      <c r="E10" t="s">
        <v>1656</v>
      </c>
    </row>
    <row r="11" spans="1:5" x14ac:dyDescent="0.2">
      <c r="A11" t="str">
        <f t="shared" si="0"/>
        <v>catalog06_E</v>
      </c>
      <c r="B11" t="s">
        <v>1661</v>
      </c>
      <c r="C11" t="s">
        <v>1662</v>
      </c>
      <c r="E11" t="s">
        <v>1656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Roman,Normal"&amp;12&amp;A</oddHeader>
    <oddFooter>&amp;C&amp;"Times New Roman,Normal"&amp;12Página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20"/>
  <sheetViews>
    <sheetView zoomScale="120" zoomScaleNormal="120" workbookViewId="0">
      <selection activeCell="A2" sqref="A2"/>
    </sheetView>
  </sheetViews>
  <sheetFormatPr baseColWidth="10" defaultColWidth="11.85546875" defaultRowHeight="12.75" x14ac:dyDescent="0.2"/>
  <cols>
    <col min="3" max="3" width="37.28515625" customWidth="1"/>
    <col min="4" max="4" width="24" customWidth="1"/>
  </cols>
  <sheetData>
    <row r="1" spans="1:4" x14ac:dyDescent="0.2">
      <c r="A1" t="s">
        <v>0</v>
      </c>
      <c r="B1" t="s">
        <v>1</v>
      </c>
      <c r="C1" t="s">
        <v>2</v>
      </c>
      <c r="D1" s="1" t="s">
        <v>3</v>
      </c>
    </row>
    <row r="2" spans="1:4" x14ac:dyDescent="0.2">
      <c r="A2" t="str">
        <f t="shared" ref="A2:A20" si="0">CONCATENATE("catalog07_",B2)</f>
        <v>catalog07_10</v>
      </c>
      <c r="B2" t="s">
        <v>1663</v>
      </c>
      <c r="C2" t="s">
        <v>1664</v>
      </c>
      <c r="D2" s="5">
        <v>1000</v>
      </c>
    </row>
    <row r="3" spans="1:4" x14ac:dyDescent="0.2">
      <c r="A3" t="str">
        <f t="shared" si="0"/>
        <v>catalog07_11</v>
      </c>
      <c r="B3" t="s">
        <v>1665</v>
      </c>
      <c r="C3" t="s">
        <v>1666</v>
      </c>
      <c r="D3" s="5">
        <v>9996</v>
      </c>
    </row>
    <row r="4" spans="1:4" x14ac:dyDescent="0.2">
      <c r="A4" t="str">
        <f t="shared" si="0"/>
        <v>catalog07_12</v>
      </c>
      <c r="B4" t="s">
        <v>16</v>
      </c>
      <c r="C4" t="s">
        <v>1667</v>
      </c>
      <c r="D4" s="5">
        <v>9996</v>
      </c>
    </row>
    <row r="5" spans="1:4" x14ac:dyDescent="0.2">
      <c r="A5" t="str">
        <f t="shared" si="0"/>
        <v>catalog07_13</v>
      </c>
      <c r="B5" t="s">
        <v>18</v>
      </c>
      <c r="C5" t="s">
        <v>1668</v>
      </c>
      <c r="D5" s="5">
        <v>9996</v>
      </c>
    </row>
    <row r="6" spans="1:4" x14ac:dyDescent="0.2">
      <c r="A6" t="str">
        <f t="shared" si="0"/>
        <v>catalog07_14</v>
      </c>
      <c r="B6" t="s">
        <v>1669</v>
      </c>
      <c r="C6" t="s">
        <v>1670</v>
      </c>
      <c r="D6" s="5">
        <v>9996</v>
      </c>
    </row>
    <row r="7" spans="1:4" x14ac:dyDescent="0.2">
      <c r="A7" t="str">
        <f t="shared" si="0"/>
        <v>catalog07_15</v>
      </c>
      <c r="B7" t="s">
        <v>1671</v>
      </c>
      <c r="C7" t="s">
        <v>1672</v>
      </c>
      <c r="D7" s="5">
        <v>9996</v>
      </c>
    </row>
    <row r="8" spans="1:4" x14ac:dyDescent="0.2">
      <c r="A8" t="str">
        <f t="shared" si="0"/>
        <v>catalog07_16</v>
      </c>
      <c r="B8" t="s">
        <v>1673</v>
      </c>
      <c r="C8" t="s">
        <v>1674</v>
      </c>
      <c r="D8" s="5">
        <v>9996</v>
      </c>
    </row>
    <row r="9" spans="1:4" x14ac:dyDescent="0.2">
      <c r="A9" t="str">
        <f t="shared" si="0"/>
        <v>catalog07_17</v>
      </c>
      <c r="B9" t="s">
        <v>1675</v>
      </c>
      <c r="C9" t="s">
        <v>1676</v>
      </c>
      <c r="D9" s="5" t="s">
        <v>1677</v>
      </c>
    </row>
    <row r="10" spans="1:4" x14ac:dyDescent="0.2">
      <c r="A10" t="str">
        <f t="shared" si="0"/>
        <v>catalog07_20</v>
      </c>
      <c r="B10" t="s">
        <v>27</v>
      </c>
      <c r="C10" t="s">
        <v>1678</v>
      </c>
      <c r="D10" s="5">
        <v>9997</v>
      </c>
    </row>
    <row r="11" spans="1:4" x14ac:dyDescent="0.2">
      <c r="A11" t="str">
        <f t="shared" si="0"/>
        <v>catalog07_21</v>
      </c>
      <c r="B11" t="s">
        <v>1679</v>
      </c>
      <c r="C11" t="s">
        <v>1680</v>
      </c>
      <c r="D11" s="5">
        <v>9996</v>
      </c>
    </row>
    <row r="12" spans="1:4" x14ac:dyDescent="0.2">
      <c r="A12" t="str">
        <f t="shared" si="0"/>
        <v>catalog07_30</v>
      </c>
      <c r="B12" t="s">
        <v>1681</v>
      </c>
      <c r="C12" t="s">
        <v>1682</v>
      </c>
      <c r="D12" s="5">
        <v>9998</v>
      </c>
    </row>
    <row r="13" spans="1:4" x14ac:dyDescent="0.2">
      <c r="A13" t="str">
        <f t="shared" si="0"/>
        <v>catalog07_31</v>
      </c>
      <c r="B13" t="s">
        <v>31</v>
      </c>
      <c r="C13" t="s">
        <v>1683</v>
      </c>
      <c r="D13" s="5">
        <v>9996</v>
      </c>
    </row>
    <row r="14" spans="1:4" x14ac:dyDescent="0.2">
      <c r="A14" t="str">
        <f t="shared" si="0"/>
        <v>catalog07_32</v>
      </c>
      <c r="B14" t="s">
        <v>1684</v>
      </c>
      <c r="C14" t="s">
        <v>1685</v>
      </c>
      <c r="D14" s="5">
        <v>9996</v>
      </c>
    </row>
    <row r="15" spans="1:4" x14ac:dyDescent="0.2">
      <c r="A15" t="str">
        <f t="shared" si="0"/>
        <v>catalog07_33</v>
      </c>
      <c r="B15" t="s">
        <v>1686</v>
      </c>
      <c r="C15" t="s">
        <v>1687</v>
      </c>
      <c r="D15" s="5">
        <v>9996</v>
      </c>
    </row>
    <row r="16" spans="1:4" x14ac:dyDescent="0.2">
      <c r="A16" t="str">
        <f t="shared" si="0"/>
        <v>catalog07_34</v>
      </c>
      <c r="B16" t="s">
        <v>1688</v>
      </c>
      <c r="C16" t="s">
        <v>1689</v>
      </c>
      <c r="D16" s="5">
        <v>9996</v>
      </c>
    </row>
    <row r="17" spans="1:4" x14ac:dyDescent="0.2">
      <c r="A17" t="str">
        <f t="shared" si="0"/>
        <v>catalog07_35</v>
      </c>
      <c r="B17" t="s">
        <v>1690</v>
      </c>
      <c r="C17" t="s">
        <v>1691</v>
      </c>
      <c r="D17" s="5">
        <v>9996</v>
      </c>
    </row>
    <row r="18" spans="1:4" x14ac:dyDescent="0.2">
      <c r="A18" t="str">
        <f t="shared" si="0"/>
        <v>catalog07_36</v>
      </c>
      <c r="B18" t="s">
        <v>1692</v>
      </c>
      <c r="C18" t="s">
        <v>1693</v>
      </c>
      <c r="D18" s="5">
        <v>9996</v>
      </c>
    </row>
    <row r="19" spans="1:4" x14ac:dyDescent="0.2">
      <c r="A19" t="str">
        <f t="shared" si="0"/>
        <v>catalog07_37</v>
      </c>
      <c r="B19" t="s">
        <v>1694</v>
      </c>
      <c r="C19" t="s">
        <v>1695</v>
      </c>
      <c r="D19" s="5">
        <v>9996</v>
      </c>
    </row>
    <row r="20" spans="1:4" x14ac:dyDescent="0.2">
      <c r="A20" t="str">
        <f t="shared" si="0"/>
        <v>catalog07_40</v>
      </c>
      <c r="B20" t="s">
        <v>34</v>
      </c>
      <c r="C20" t="s">
        <v>1696</v>
      </c>
      <c r="D20" s="5" t="s">
        <v>1697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Roman,Normal"&amp;12&amp;A</oddHeader>
    <oddFooter>&amp;C&amp;"Times New Roman,Normal"&amp;12Página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4"/>
  <sheetViews>
    <sheetView zoomScale="120" zoomScaleNormal="120" workbookViewId="0">
      <selection activeCell="E1" sqref="E1"/>
    </sheetView>
  </sheetViews>
  <sheetFormatPr baseColWidth="10" defaultColWidth="11.85546875" defaultRowHeight="12.75" x14ac:dyDescent="0.2"/>
  <sheetData>
    <row r="1" spans="1:5" x14ac:dyDescent="0.2">
      <c r="A1" t="s">
        <v>0</v>
      </c>
      <c r="B1" t="s">
        <v>1</v>
      </c>
      <c r="C1" t="s">
        <v>2</v>
      </c>
      <c r="D1" s="1" t="s">
        <v>3</v>
      </c>
      <c r="E1" s="1" t="s">
        <v>1698</v>
      </c>
    </row>
    <row r="2" spans="1:5" x14ac:dyDescent="0.2">
      <c r="A2" t="str">
        <f>CONCATENATE("catalog08_",B2)</f>
        <v>catalog08_01</v>
      </c>
      <c r="B2" t="s">
        <v>4</v>
      </c>
      <c r="C2" t="s">
        <v>1699</v>
      </c>
      <c r="E2">
        <v>1</v>
      </c>
    </row>
    <row r="3" spans="1:5" x14ac:dyDescent="0.2">
      <c r="A3" t="str">
        <f>CONCATENATE("catalog08_",B3)</f>
        <v>catalog08_02</v>
      </c>
      <c r="B3" t="s">
        <v>1700</v>
      </c>
      <c r="C3" t="s">
        <v>1701</v>
      </c>
      <c r="E3">
        <v>2</v>
      </c>
    </row>
    <row r="4" spans="1:5" x14ac:dyDescent="0.2">
      <c r="A4" t="str">
        <f>CONCATENATE("catalog08_",B4)</f>
        <v>catalog08_03</v>
      </c>
      <c r="B4" t="s">
        <v>6</v>
      </c>
      <c r="C4" t="s">
        <v>1702</v>
      </c>
      <c r="E4">
        <v>0.5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Roman,Normal"&amp;12&amp;A</oddHeader>
    <oddFooter>&amp;C&amp;"Times New Roman,Normal"&amp;12Página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14"/>
  <sheetViews>
    <sheetView zoomScale="120" zoomScaleNormal="120" workbookViewId="0">
      <selection activeCell="A14" sqref="A14"/>
    </sheetView>
  </sheetViews>
  <sheetFormatPr baseColWidth="10" defaultColWidth="11.85546875" defaultRowHeight="12.75" x14ac:dyDescent="0.2"/>
  <sheetData>
    <row r="1" spans="1:4" x14ac:dyDescent="0.2">
      <c r="A1" t="s">
        <v>0</v>
      </c>
      <c r="B1" t="s">
        <v>1</v>
      </c>
      <c r="C1" t="s">
        <v>2</v>
      </c>
      <c r="D1" s="1" t="s">
        <v>3</v>
      </c>
    </row>
    <row r="2" spans="1:4" x14ac:dyDescent="0.2">
      <c r="A2" t="str">
        <f t="shared" ref="A2:A14" si="0">CONCATENATE("catalog09_",B2)</f>
        <v>catalog09_01</v>
      </c>
      <c r="B2" t="s">
        <v>4</v>
      </c>
      <c r="C2" t="s">
        <v>1703</v>
      </c>
    </row>
    <row r="3" spans="1:4" x14ac:dyDescent="0.2">
      <c r="A3" t="str">
        <f t="shared" si="0"/>
        <v>catalog09_02</v>
      </c>
      <c r="B3" t="s">
        <v>1700</v>
      </c>
      <c r="C3" t="s">
        <v>1704</v>
      </c>
    </row>
    <row r="4" spans="1:4" x14ac:dyDescent="0.2">
      <c r="A4" t="str">
        <f t="shared" si="0"/>
        <v>catalog09_03</v>
      </c>
      <c r="B4" t="s">
        <v>6</v>
      </c>
      <c r="C4" t="s">
        <v>1705</v>
      </c>
    </row>
    <row r="5" spans="1:4" x14ac:dyDescent="0.2">
      <c r="A5" t="str">
        <f t="shared" si="0"/>
        <v>catalog09_04</v>
      </c>
      <c r="B5" t="s">
        <v>1706</v>
      </c>
      <c r="C5" t="s">
        <v>1707</v>
      </c>
    </row>
    <row r="6" spans="1:4" x14ac:dyDescent="0.2">
      <c r="A6" t="str">
        <f t="shared" si="0"/>
        <v>catalog09_05</v>
      </c>
      <c r="B6" t="s">
        <v>1708</v>
      </c>
      <c r="C6" t="s">
        <v>1709</v>
      </c>
    </row>
    <row r="7" spans="1:4" x14ac:dyDescent="0.2">
      <c r="A7" t="str">
        <f t="shared" si="0"/>
        <v>catalog09_06</v>
      </c>
      <c r="B7" t="s">
        <v>8</v>
      </c>
      <c r="C7" t="s">
        <v>1710</v>
      </c>
    </row>
    <row r="8" spans="1:4" x14ac:dyDescent="0.2">
      <c r="A8" t="str">
        <f t="shared" si="0"/>
        <v>catalog09_07</v>
      </c>
      <c r="B8" t="s">
        <v>10</v>
      </c>
      <c r="C8" t="s">
        <v>1711</v>
      </c>
    </row>
    <row r="9" spans="1:4" x14ac:dyDescent="0.2">
      <c r="A9" t="str">
        <f t="shared" si="0"/>
        <v>catalog09_08</v>
      </c>
      <c r="B9" t="s">
        <v>12</v>
      </c>
      <c r="C9" t="s">
        <v>1712</v>
      </c>
    </row>
    <row r="10" spans="1:4" x14ac:dyDescent="0.2">
      <c r="A10" t="str">
        <f t="shared" si="0"/>
        <v>catalog09_09</v>
      </c>
      <c r="B10" t="s">
        <v>14</v>
      </c>
      <c r="C10" t="s">
        <v>1713</v>
      </c>
    </row>
    <row r="11" spans="1:4" x14ac:dyDescent="0.2">
      <c r="A11" t="str">
        <f t="shared" si="0"/>
        <v>catalog09_10</v>
      </c>
      <c r="B11" t="s">
        <v>1663</v>
      </c>
      <c r="C11" t="s">
        <v>1714</v>
      </c>
    </row>
    <row r="12" spans="1:4" x14ac:dyDescent="0.2">
      <c r="A12" t="str">
        <f t="shared" si="0"/>
        <v>catalog09_11</v>
      </c>
      <c r="B12" t="s">
        <v>1665</v>
      </c>
      <c r="C12" t="s">
        <v>1715</v>
      </c>
    </row>
    <row r="13" spans="1:4" x14ac:dyDescent="0.2">
      <c r="A13" t="str">
        <f t="shared" si="0"/>
        <v>catalog09_12</v>
      </c>
      <c r="B13" t="s">
        <v>16</v>
      </c>
      <c r="C13" t="s">
        <v>1716</v>
      </c>
    </row>
    <row r="14" spans="1:4" x14ac:dyDescent="0.2">
      <c r="A14" t="str">
        <f t="shared" si="0"/>
        <v>catalog09_13</v>
      </c>
      <c r="B14" s="5" t="s">
        <v>18</v>
      </c>
      <c r="C14" t="s">
        <v>1717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Roman,Normal"&amp;12&amp;A</oddHeader>
    <oddFooter>&amp;C&amp;"Times New Roman,Normal"&amp;12Página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6"/>
  <sheetViews>
    <sheetView zoomScale="120" zoomScaleNormal="120" workbookViewId="0">
      <selection activeCell="A2" sqref="A2"/>
    </sheetView>
  </sheetViews>
  <sheetFormatPr baseColWidth="10" defaultColWidth="11.85546875" defaultRowHeight="12.75" x14ac:dyDescent="0.2"/>
  <sheetData>
    <row r="1" spans="1:4" x14ac:dyDescent="0.2">
      <c r="A1" t="s">
        <v>0</v>
      </c>
      <c r="B1" t="s">
        <v>1</v>
      </c>
      <c r="C1" t="s">
        <v>2</v>
      </c>
      <c r="D1" s="1" t="s">
        <v>3</v>
      </c>
    </row>
    <row r="2" spans="1:4" x14ac:dyDescent="0.2">
      <c r="A2" t="str">
        <f>CONCATENATE("catalog10_",B2)</f>
        <v>catalog10_01</v>
      </c>
      <c r="B2" t="s">
        <v>4</v>
      </c>
      <c r="C2" t="s">
        <v>1718</v>
      </c>
    </row>
    <row r="3" spans="1:4" x14ac:dyDescent="0.2">
      <c r="A3" t="str">
        <f>CONCATENATE("catalog10_",B3)</f>
        <v>catalog10_02</v>
      </c>
      <c r="B3" t="s">
        <v>1700</v>
      </c>
      <c r="C3" t="s">
        <v>1719</v>
      </c>
    </row>
    <row r="4" spans="1:4" x14ac:dyDescent="0.2">
      <c r="A4" t="str">
        <f>CONCATENATE("catalog10_",B4)</f>
        <v>catalog10_03</v>
      </c>
      <c r="B4" t="s">
        <v>6</v>
      </c>
      <c r="C4" t="s">
        <v>1720</v>
      </c>
    </row>
    <row r="5" spans="1:4" x14ac:dyDescent="0.2">
      <c r="A5" t="str">
        <f>CONCATENATE("catalog10_",B5)</f>
        <v>catalog10_11</v>
      </c>
      <c r="B5" t="s">
        <v>1665</v>
      </c>
      <c r="C5" t="s">
        <v>1715</v>
      </c>
    </row>
    <row r="6" spans="1:4" x14ac:dyDescent="0.2">
      <c r="A6" t="str">
        <f>CONCATENATE("catalog10_",B6)</f>
        <v>catalog10_12</v>
      </c>
      <c r="B6" t="s">
        <v>16</v>
      </c>
      <c r="C6" t="s">
        <v>1716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Roman,Normal"&amp;12&amp;A</oddHeader>
    <oddFooter>&amp;C&amp;"Times New Roman,Normal"&amp;12Página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6"/>
  <sheetViews>
    <sheetView zoomScale="120" zoomScaleNormal="120" workbookViewId="0">
      <selection activeCell="A2" sqref="A2"/>
    </sheetView>
  </sheetViews>
  <sheetFormatPr baseColWidth="10" defaultColWidth="11.85546875" defaultRowHeight="12.75" x14ac:dyDescent="0.2"/>
  <sheetData>
    <row r="1" spans="1:4" x14ac:dyDescent="0.2">
      <c r="A1" t="s">
        <v>0</v>
      </c>
      <c r="B1" t="s">
        <v>1</v>
      </c>
      <c r="C1" t="s">
        <v>2</v>
      </c>
      <c r="D1" s="1" t="s">
        <v>3</v>
      </c>
    </row>
    <row r="2" spans="1:4" x14ac:dyDescent="0.2">
      <c r="A2" t="str">
        <f>CONCATENATE("catalog11_",B2)</f>
        <v>catalog11_01</v>
      </c>
      <c r="B2" t="s">
        <v>4</v>
      </c>
      <c r="C2" t="s">
        <v>1721</v>
      </c>
    </row>
    <row r="3" spans="1:4" x14ac:dyDescent="0.2">
      <c r="A3" t="str">
        <f>CONCATENATE("catalog11_",B3)</f>
        <v>catalog11_02</v>
      </c>
      <c r="B3" t="s">
        <v>1700</v>
      </c>
      <c r="C3" t="s">
        <v>1632</v>
      </c>
    </row>
    <row r="4" spans="1:4" x14ac:dyDescent="0.2">
      <c r="A4" t="str">
        <f>CONCATENATE("catalog11_",B4)</f>
        <v>catalog11_03</v>
      </c>
      <c r="B4" t="s">
        <v>6</v>
      </c>
      <c r="C4" t="s">
        <v>1635</v>
      </c>
    </row>
    <row r="5" spans="1:4" x14ac:dyDescent="0.2">
      <c r="A5" t="str">
        <f>CONCATENATE("catalog11_",B5)</f>
        <v>catalog11_04</v>
      </c>
      <c r="B5" t="s">
        <v>1706</v>
      </c>
      <c r="C5" t="s">
        <v>1625</v>
      </c>
    </row>
    <row r="6" spans="1:4" x14ac:dyDescent="0.2">
      <c r="A6" t="str">
        <f>CONCATENATE("catalog11_",B6)</f>
        <v>catalog11_05</v>
      </c>
      <c r="B6" t="s">
        <v>1708</v>
      </c>
      <c r="C6" t="s">
        <v>1722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Roman,Normal"&amp;12&amp;A</oddHeader>
    <oddFooter>&amp;C&amp;"Times New Roman,Normal"&amp;12Página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12"/>
  <sheetViews>
    <sheetView zoomScale="120" zoomScaleNormal="120" workbookViewId="0">
      <selection activeCell="C10" sqref="C10"/>
    </sheetView>
  </sheetViews>
  <sheetFormatPr baseColWidth="10" defaultColWidth="11.85546875" defaultRowHeight="12.75" x14ac:dyDescent="0.2"/>
  <sheetData>
    <row r="1" spans="1:4" x14ac:dyDescent="0.2">
      <c r="A1" t="s">
        <v>0</v>
      </c>
      <c r="B1" t="s">
        <v>1</v>
      </c>
      <c r="C1" t="s">
        <v>2</v>
      </c>
      <c r="D1" s="1" t="s">
        <v>3</v>
      </c>
    </row>
    <row r="2" spans="1:4" x14ac:dyDescent="0.2">
      <c r="A2" t="str">
        <f t="shared" ref="A2:A12" si="0">CONCATENATE("catalog12_",B2)</f>
        <v>catalog12_01</v>
      </c>
      <c r="B2" t="s">
        <v>4</v>
      </c>
      <c r="C2" t="s">
        <v>1723</v>
      </c>
    </row>
    <row r="3" spans="1:4" x14ac:dyDescent="0.2">
      <c r="A3" t="str">
        <f t="shared" si="0"/>
        <v>catalog12_02</v>
      </c>
      <c r="B3" t="s">
        <v>1700</v>
      </c>
      <c r="C3" t="s">
        <v>1724</v>
      </c>
    </row>
    <row r="4" spans="1:4" x14ac:dyDescent="0.2">
      <c r="A4" t="str">
        <f t="shared" si="0"/>
        <v>catalog12_03</v>
      </c>
      <c r="B4" t="s">
        <v>6</v>
      </c>
      <c r="C4" t="s">
        <v>1725</v>
      </c>
    </row>
    <row r="5" spans="1:4" x14ac:dyDescent="0.2">
      <c r="A5" t="str">
        <f t="shared" si="0"/>
        <v>catalog12_04</v>
      </c>
      <c r="B5" t="s">
        <v>1706</v>
      </c>
      <c r="C5" t="s">
        <v>1726</v>
      </c>
    </row>
    <row r="6" spans="1:4" x14ac:dyDescent="0.2">
      <c r="A6" t="str">
        <f t="shared" si="0"/>
        <v>catalog12_05</v>
      </c>
      <c r="B6" t="s">
        <v>1708</v>
      </c>
      <c r="C6" t="s">
        <v>1727</v>
      </c>
    </row>
    <row r="7" spans="1:4" x14ac:dyDescent="0.2">
      <c r="A7" t="str">
        <f t="shared" si="0"/>
        <v>catalog12_06</v>
      </c>
      <c r="B7" t="s">
        <v>8</v>
      </c>
      <c r="C7" t="s">
        <v>1728</v>
      </c>
    </row>
    <row r="8" spans="1:4" x14ac:dyDescent="0.2">
      <c r="A8" t="str">
        <f t="shared" si="0"/>
        <v>catalog12_07</v>
      </c>
      <c r="B8" t="s">
        <v>10</v>
      </c>
      <c r="C8" t="s">
        <v>1729</v>
      </c>
    </row>
    <row r="9" spans="1:4" x14ac:dyDescent="0.2">
      <c r="A9" t="str">
        <f t="shared" si="0"/>
        <v>catalog12_08</v>
      </c>
      <c r="B9" t="s">
        <v>12</v>
      </c>
      <c r="C9" t="s">
        <v>1730</v>
      </c>
    </row>
    <row r="10" spans="1:4" x14ac:dyDescent="0.2">
      <c r="A10" t="str">
        <f t="shared" si="0"/>
        <v>catalog12_09</v>
      </c>
      <c r="B10" t="s">
        <v>14</v>
      </c>
      <c r="C10" t="s">
        <v>1731</v>
      </c>
    </row>
    <row r="11" spans="1:4" x14ac:dyDescent="0.2">
      <c r="A11" t="str">
        <f t="shared" si="0"/>
        <v>catalog12_10</v>
      </c>
      <c r="B11" t="s">
        <v>1663</v>
      </c>
      <c r="C11" t="s">
        <v>1732</v>
      </c>
    </row>
    <row r="12" spans="1:4" x14ac:dyDescent="0.2">
      <c r="A12" t="str">
        <f t="shared" si="0"/>
        <v>catalog12_99</v>
      </c>
      <c r="B12" t="s">
        <v>1733</v>
      </c>
      <c r="C12" t="s">
        <v>1734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Roman,Normal"&amp;12&amp;A</oddHeader>
    <oddFooter>&amp;C&amp;"Times New Roman,Normal"&amp;12Página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13"/>
  <sheetViews>
    <sheetView topLeftCell="A2" zoomScale="120" zoomScaleNormal="120" workbookViewId="0">
      <selection activeCell="A2" sqref="A2"/>
    </sheetView>
  </sheetViews>
  <sheetFormatPr baseColWidth="10" defaultColWidth="11.85546875" defaultRowHeight="12.75" x14ac:dyDescent="0.2"/>
  <cols>
    <col min="2" max="2" width="7.42578125" customWidth="1"/>
    <col min="3" max="3" width="45.140625" customWidth="1"/>
  </cols>
  <sheetData>
    <row r="1" spans="1:4" x14ac:dyDescent="0.2">
      <c r="A1" t="s">
        <v>0</v>
      </c>
      <c r="B1" t="s">
        <v>1</v>
      </c>
      <c r="C1" t="s">
        <v>2</v>
      </c>
      <c r="D1" s="1" t="s">
        <v>3</v>
      </c>
    </row>
    <row r="2" spans="1:4" x14ac:dyDescent="0.2">
      <c r="A2" t="str">
        <f t="shared" ref="A2:A13" si="0">CONCATENATE("catalog14_",B2)</f>
        <v>catalog14_1000</v>
      </c>
      <c r="B2" t="s">
        <v>1607</v>
      </c>
      <c r="C2" t="s">
        <v>1735</v>
      </c>
    </row>
    <row r="3" spans="1:4" x14ac:dyDescent="0.2">
      <c r="A3" t="str">
        <f t="shared" si="0"/>
        <v>catalog14_1001</v>
      </c>
      <c r="B3" t="s">
        <v>1736</v>
      </c>
      <c r="C3" t="s">
        <v>1737</v>
      </c>
    </row>
    <row r="4" spans="1:4" x14ac:dyDescent="0.2">
      <c r="A4" t="str">
        <f t="shared" si="0"/>
        <v>catalog14_1002</v>
      </c>
      <c r="B4" t="s">
        <v>1738</v>
      </c>
      <c r="C4" t="s">
        <v>1739</v>
      </c>
    </row>
    <row r="5" spans="1:4" x14ac:dyDescent="0.2">
      <c r="A5" t="str">
        <f t="shared" si="0"/>
        <v>catalog14_1003</v>
      </c>
      <c r="B5" t="s">
        <v>1740</v>
      </c>
      <c r="C5" t="s">
        <v>1741</v>
      </c>
    </row>
    <row r="6" spans="1:4" x14ac:dyDescent="0.2">
      <c r="A6" t="str">
        <f t="shared" si="0"/>
        <v>catalog14_1004</v>
      </c>
      <c r="B6" t="s">
        <v>1742</v>
      </c>
      <c r="C6" t="s">
        <v>1743</v>
      </c>
    </row>
    <row r="7" spans="1:4" x14ac:dyDescent="0.2">
      <c r="A7" t="str">
        <f t="shared" si="0"/>
        <v>catalog14_1005</v>
      </c>
      <c r="B7" t="s">
        <v>1744</v>
      </c>
      <c r="C7" t="s">
        <v>1745</v>
      </c>
    </row>
    <row r="8" spans="1:4" x14ac:dyDescent="0.2">
      <c r="A8" t="str">
        <f t="shared" si="0"/>
        <v>catalog14_2001</v>
      </c>
      <c r="B8" t="s">
        <v>1746</v>
      </c>
      <c r="C8" t="s">
        <v>1747</v>
      </c>
    </row>
    <row r="9" spans="1:4" x14ac:dyDescent="0.2">
      <c r="A9" t="str">
        <f t="shared" si="0"/>
        <v>catalog14_2002</v>
      </c>
      <c r="B9" t="s">
        <v>1748</v>
      </c>
      <c r="C9" t="s">
        <v>1749</v>
      </c>
    </row>
    <row r="10" spans="1:4" x14ac:dyDescent="0.2">
      <c r="A10" t="str">
        <f t="shared" si="0"/>
        <v>catalog14_2003</v>
      </c>
      <c r="B10" t="s">
        <v>1750</v>
      </c>
      <c r="C10" t="s">
        <v>1751</v>
      </c>
    </row>
    <row r="11" spans="1:4" x14ac:dyDescent="0.2">
      <c r="A11" t="str">
        <f t="shared" si="0"/>
        <v>catalog14_2004</v>
      </c>
      <c r="B11" t="s">
        <v>1752</v>
      </c>
      <c r="C11" t="s">
        <v>1753</v>
      </c>
    </row>
    <row r="12" spans="1:4" x14ac:dyDescent="0.2">
      <c r="A12" t="str">
        <f t="shared" si="0"/>
        <v>catalog14_2005</v>
      </c>
      <c r="B12" t="s">
        <v>1754</v>
      </c>
      <c r="C12" t="s">
        <v>1755</v>
      </c>
    </row>
    <row r="13" spans="1:4" x14ac:dyDescent="0.2">
      <c r="A13" t="str">
        <f t="shared" si="0"/>
        <v>catalog14_3001</v>
      </c>
      <c r="B13" t="s">
        <v>1756</v>
      </c>
      <c r="C13" t="s">
        <v>1757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Roman,Normal"&amp;12&amp;A</oddHeader>
    <oddFooter>&amp;C&amp;"Times New Roman,Normal"&amp;12Página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D46"/>
  <sheetViews>
    <sheetView zoomScale="120" zoomScaleNormal="120" workbookViewId="0">
      <selection activeCell="A2" sqref="A2"/>
    </sheetView>
  </sheetViews>
  <sheetFormatPr baseColWidth="10" defaultColWidth="11.85546875" defaultRowHeight="12.75" x14ac:dyDescent="0.2"/>
  <sheetData>
    <row r="1" spans="1:4" x14ac:dyDescent="0.2">
      <c r="A1" t="s">
        <v>0</v>
      </c>
      <c r="B1" t="s">
        <v>1</v>
      </c>
      <c r="C1" t="s">
        <v>2</v>
      </c>
      <c r="D1" s="1" t="s">
        <v>3</v>
      </c>
    </row>
    <row r="2" spans="1:4" x14ac:dyDescent="0.2">
      <c r="A2" t="str">
        <f t="shared" ref="A2:A46" si="0">CONCATENATE("catalog15_",B2)</f>
        <v>catalog15_1000</v>
      </c>
      <c r="B2" t="s">
        <v>1607</v>
      </c>
      <c r="C2" t="s">
        <v>1758</v>
      </c>
      <c r="D2" t="s">
        <v>1758</v>
      </c>
    </row>
    <row r="3" spans="1:4" x14ac:dyDescent="0.2">
      <c r="A3" t="str">
        <f t="shared" si="0"/>
        <v>catalog15_1002</v>
      </c>
      <c r="B3" t="s">
        <v>1738</v>
      </c>
      <c r="C3" t="s">
        <v>1759</v>
      </c>
      <c r="D3" t="s">
        <v>1760</v>
      </c>
    </row>
    <row r="4" spans="1:4" x14ac:dyDescent="0.2">
      <c r="A4" t="str">
        <f t="shared" si="0"/>
        <v>catalog15_2000</v>
      </c>
      <c r="B4" t="s">
        <v>1613</v>
      </c>
      <c r="C4" t="s">
        <v>1761</v>
      </c>
      <c r="D4" t="s">
        <v>1762</v>
      </c>
    </row>
    <row r="5" spans="1:4" x14ac:dyDescent="0.2">
      <c r="A5" t="str">
        <f t="shared" si="0"/>
        <v>catalog15_2001</v>
      </c>
      <c r="B5" t="s">
        <v>1746</v>
      </c>
      <c r="C5" t="s">
        <v>1763</v>
      </c>
      <c r="D5" t="s">
        <v>1764</v>
      </c>
    </row>
    <row r="6" spans="1:4" x14ac:dyDescent="0.2">
      <c r="A6" t="str">
        <f t="shared" si="0"/>
        <v>catalog15_2002</v>
      </c>
      <c r="B6" t="s">
        <v>1748</v>
      </c>
      <c r="C6" t="s">
        <v>1765</v>
      </c>
      <c r="D6" t="s">
        <v>1766</v>
      </c>
    </row>
    <row r="7" spans="1:4" x14ac:dyDescent="0.2">
      <c r="A7" t="str">
        <f t="shared" si="0"/>
        <v>catalog15_2003</v>
      </c>
      <c r="B7" t="s">
        <v>1750</v>
      </c>
      <c r="C7" t="s">
        <v>1767</v>
      </c>
      <c r="D7" t="s">
        <v>1768</v>
      </c>
    </row>
    <row r="8" spans="1:4" x14ac:dyDescent="0.2">
      <c r="A8" t="str">
        <f t="shared" si="0"/>
        <v>catalog15_2004</v>
      </c>
      <c r="B8" t="s">
        <v>1752</v>
      </c>
      <c r="C8" t="s">
        <v>1769</v>
      </c>
      <c r="D8" t="s">
        <v>1770</v>
      </c>
    </row>
    <row r="9" spans="1:4" x14ac:dyDescent="0.2">
      <c r="A9" t="str">
        <f t="shared" si="0"/>
        <v>catalog15_2005</v>
      </c>
      <c r="B9" t="s">
        <v>1754</v>
      </c>
      <c r="C9" t="s">
        <v>1771</v>
      </c>
      <c r="D9" t="s">
        <v>1772</v>
      </c>
    </row>
    <row r="10" spans="1:4" x14ac:dyDescent="0.2">
      <c r="A10" t="str">
        <f t="shared" si="0"/>
        <v>catalog15_2006</v>
      </c>
      <c r="B10" t="s">
        <v>1773</v>
      </c>
      <c r="C10" s="6" t="s">
        <v>1774</v>
      </c>
      <c r="D10" t="s">
        <v>1775</v>
      </c>
    </row>
    <row r="11" spans="1:4" x14ac:dyDescent="0.2">
      <c r="A11" t="str">
        <f t="shared" si="0"/>
        <v>catalog15_2007</v>
      </c>
      <c r="B11" t="s">
        <v>1776</v>
      </c>
      <c r="C11" t="s">
        <v>1777</v>
      </c>
      <c r="D11" t="s">
        <v>1778</v>
      </c>
    </row>
    <row r="12" spans="1:4" x14ac:dyDescent="0.2">
      <c r="A12" t="str">
        <f t="shared" si="0"/>
        <v>catalog15_2010</v>
      </c>
      <c r="B12" t="s">
        <v>1779</v>
      </c>
      <c r="C12" t="s">
        <v>1780</v>
      </c>
      <c r="D12" t="s">
        <v>1780</v>
      </c>
    </row>
    <row r="13" spans="1:4" x14ac:dyDescent="0.2">
      <c r="A13" t="str">
        <f t="shared" si="0"/>
        <v>catalog15_3000</v>
      </c>
      <c r="B13" t="s">
        <v>1617</v>
      </c>
      <c r="C13" t="s">
        <v>1781</v>
      </c>
      <c r="D13" t="s">
        <v>1781</v>
      </c>
    </row>
    <row r="14" spans="1:4" x14ac:dyDescent="0.2">
      <c r="A14" t="str">
        <f t="shared" si="0"/>
        <v>catalog15_3001</v>
      </c>
      <c r="B14" t="s">
        <v>1756</v>
      </c>
      <c r="C14" t="s">
        <v>1782</v>
      </c>
      <c r="D14" t="s">
        <v>1782</v>
      </c>
    </row>
    <row r="15" spans="1:4" x14ac:dyDescent="0.2">
      <c r="A15" t="str">
        <f t="shared" si="0"/>
        <v>catalog15_3002</v>
      </c>
      <c r="B15" t="s">
        <v>1783</v>
      </c>
      <c r="C15" t="s">
        <v>1784</v>
      </c>
      <c r="D15" t="s">
        <v>1784</v>
      </c>
    </row>
    <row r="16" spans="1:4" x14ac:dyDescent="0.2">
      <c r="A16" t="str">
        <f t="shared" si="0"/>
        <v>catalog15_3003</v>
      </c>
      <c r="B16" t="s">
        <v>1785</v>
      </c>
      <c r="C16" t="s">
        <v>1786</v>
      </c>
      <c r="D16" t="s">
        <v>1786</v>
      </c>
    </row>
    <row r="17" spans="1:4" x14ac:dyDescent="0.2">
      <c r="A17" t="str">
        <f t="shared" si="0"/>
        <v>catalog15_3004</v>
      </c>
      <c r="B17" t="s">
        <v>1787</v>
      </c>
      <c r="C17" t="s">
        <v>1788</v>
      </c>
      <c r="D17" t="s">
        <v>1788</v>
      </c>
    </row>
    <row r="18" spans="1:4" x14ac:dyDescent="0.2">
      <c r="A18" t="str">
        <f t="shared" si="0"/>
        <v>catalog15_3005</v>
      </c>
      <c r="B18" t="s">
        <v>1789</v>
      </c>
      <c r="C18" t="s">
        <v>1790</v>
      </c>
      <c r="D18" t="s">
        <v>1790</v>
      </c>
    </row>
    <row r="19" spans="1:4" x14ac:dyDescent="0.2">
      <c r="A19" t="str">
        <f t="shared" si="0"/>
        <v>catalog15_3006</v>
      </c>
      <c r="B19" t="s">
        <v>1791</v>
      </c>
      <c r="C19" t="s">
        <v>1792</v>
      </c>
      <c r="D19" t="s">
        <v>1792</v>
      </c>
    </row>
    <row r="20" spans="1:4" x14ac:dyDescent="0.2">
      <c r="A20" t="str">
        <f t="shared" si="0"/>
        <v>catalog15_3007</v>
      </c>
      <c r="B20" t="s">
        <v>1793</v>
      </c>
      <c r="C20" t="s">
        <v>1794</v>
      </c>
      <c r="D20" t="s">
        <v>1794</v>
      </c>
    </row>
    <row r="21" spans="1:4" x14ac:dyDescent="0.2">
      <c r="A21" t="str">
        <f t="shared" si="0"/>
        <v>catalog15_3008</v>
      </c>
      <c r="B21" t="s">
        <v>1795</v>
      </c>
      <c r="C21" t="s">
        <v>1796</v>
      </c>
      <c r="D21" t="s">
        <v>1796</v>
      </c>
    </row>
    <row r="22" spans="1:4" x14ac:dyDescent="0.2">
      <c r="A22" t="str">
        <f t="shared" si="0"/>
        <v>catalog15_3009</v>
      </c>
      <c r="B22" t="s">
        <v>1797</v>
      </c>
      <c r="C22" t="s">
        <v>1798</v>
      </c>
      <c r="D22" t="s">
        <v>1798</v>
      </c>
    </row>
    <row r="23" spans="1:4" x14ac:dyDescent="0.2">
      <c r="A23" t="str">
        <f t="shared" si="0"/>
        <v>catalog15_3010</v>
      </c>
      <c r="B23" t="s">
        <v>1799</v>
      </c>
      <c r="C23" t="s">
        <v>1800</v>
      </c>
      <c r="D23" t="s">
        <v>1800</v>
      </c>
    </row>
    <row r="24" spans="1:4" x14ac:dyDescent="0.2">
      <c r="A24" t="str">
        <f t="shared" si="0"/>
        <v>catalog15_4000</v>
      </c>
      <c r="B24" t="s">
        <v>1801</v>
      </c>
      <c r="C24" t="s">
        <v>1802</v>
      </c>
      <c r="D24" t="s">
        <v>1802</v>
      </c>
    </row>
    <row r="25" spans="1:4" x14ac:dyDescent="0.2">
      <c r="A25" t="str">
        <f t="shared" si="0"/>
        <v>catalog15_4001</v>
      </c>
      <c r="B25" t="s">
        <v>1803</v>
      </c>
      <c r="C25" t="s">
        <v>1804</v>
      </c>
      <c r="D25" t="s">
        <v>1804</v>
      </c>
    </row>
    <row r="26" spans="1:4" x14ac:dyDescent="0.2">
      <c r="A26" t="str">
        <f t="shared" si="0"/>
        <v>catalog15_4002</v>
      </c>
      <c r="B26" t="s">
        <v>1805</v>
      </c>
      <c r="C26" t="s">
        <v>1806</v>
      </c>
      <c r="D26" t="s">
        <v>1806</v>
      </c>
    </row>
    <row r="27" spans="1:4" x14ac:dyDescent="0.2">
      <c r="A27" t="str">
        <f t="shared" si="0"/>
        <v>catalog15_4003</v>
      </c>
      <c r="B27" t="s">
        <v>1807</v>
      </c>
      <c r="C27" t="s">
        <v>1808</v>
      </c>
      <c r="D27" t="s">
        <v>1808</v>
      </c>
    </row>
    <row r="28" spans="1:4" x14ac:dyDescent="0.2">
      <c r="A28" t="str">
        <f t="shared" si="0"/>
        <v>catalog15_4004</v>
      </c>
      <c r="B28" t="s">
        <v>1809</v>
      </c>
      <c r="C28" t="s">
        <v>1810</v>
      </c>
      <c r="D28" t="s">
        <v>1810</v>
      </c>
    </row>
    <row r="29" spans="1:4" x14ac:dyDescent="0.2">
      <c r="A29" t="str">
        <f t="shared" si="0"/>
        <v>catalog15_4005</v>
      </c>
      <c r="B29" t="s">
        <v>1811</v>
      </c>
      <c r="C29" t="s">
        <v>1812</v>
      </c>
      <c r="D29" t="s">
        <v>1812</v>
      </c>
    </row>
    <row r="30" spans="1:4" x14ac:dyDescent="0.2">
      <c r="A30" t="str">
        <f t="shared" si="0"/>
        <v>catalog15_4006</v>
      </c>
      <c r="B30" t="s">
        <v>1813</v>
      </c>
      <c r="C30" t="s">
        <v>1814</v>
      </c>
      <c r="D30" t="s">
        <v>1814</v>
      </c>
    </row>
    <row r="31" spans="1:4" x14ac:dyDescent="0.2">
      <c r="A31" t="str">
        <f t="shared" si="0"/>
        <v>catalog15_4007</v>
      </c>
      <c r="B31" t="s">
        <v>1815</v>
      </c>
      <c r="C31" t="s">
        <v>1816</v>
      </c>
      <c r="D31" t="s">
        <v>1816</v>
      </c>
    </row>
    <row r="32" spans="1:4" x14ac:dyDescent="0.2">
      <c r="A32" t="str">
        <f t="shared" si="0"/>
        <v>catalog15_4008</v>
      </c>
      <c r="B32" t="s">
        <v>1817</v>
      </c>
      <c r="C32" t="s">
        <v>1818</v>
      </c>
      <c r="D32" t="s">
        <v>1818</v>
      </c>
    </row>
    <row r="33" spans="1:4" x14ac:dyDescent="0.2">
      <c r="A33" t="str">
        <f t="shared" si="0"/>
        <v>catalog15_4009</v>
      </c>
      <c r="B33" t="s">
        <v>1819</v>
      </c>
      <c r="C33" t="s">
        <v>1820</v>
      </c>
      <c r="D33" t="s">
        <v>1820</v>
      </c>
    </row>
    <row r="34" spans="1:4" x14ac:dyDescent="0.2">
      <c r="A34" t="str">
        <f t="shared" si="0"/>
        <v>catalog15_5000</v>
      </c>
      <c r="B34" t="s">
        <v>1821</v>
      </c>
      <c r="C34" t="s">
        <v>1822</v>
      </c>
      <c r="D34" t="s">
        <v>1822</v>
      </c>
    </row>
    <row r="35" spans="1:4" x14ac:dyDescent="0.2">
      <c r="A35" t="str">
        <f t="shared" si="0"/>
        <v>catalog15_5001</v>
      </c>
      <c r="B35" t="s">
        <v>1823</v>
      </c>
      <c r="C35" t="s">
        <v>1824</v>
      </c>
      <c r="D35" t="s">
        <v>1824</v>
      </c>
    </row>
    <row r="36" spans="1:4" x14ac:dyDescent="0.2">
      <c r="A36" t="str">
        <f t="shared" si="0"/>
        <v>catalog15_5002</v>
      </c>
      <c r="B36" t="s">
        <v>1825</v>
      </c>
      <c r="C36" t="s">
        <v>1826</v>
      </c>
      <c r="D36" t="s">
        <v>1826</v>
      </c>
    </row>
    <row r="37" spans="1:4" x14ac:dyDescent="0.2">
      <c r="A37" t="str">
        <f t="shared" si="0"/>
        <v>catalog15_5003</v>
      </c>
      <c r="B37" t="s">
        <v>1827</v>
      </c>
      <c r="C37" t="s">
        <v>1828</v>
      </c>
      <c r="D37" t="s">
        <v>1828</v>
      </c>
    </row>
    <row r="38" spans="1:4" x14ac:dyDescent="0.2">
      <c r="A38" t="str">
        <f t="shared" si="0"/>
        <v>catalog15_6000</v>
      </c>
      <c r="B38" t="s">
        <v>1829</v>
      </c>
      <c r="C38" t="s">
        <v>1830</v>
      </c>
      <c r="D38" t="s">
        <v>1830</v>
      </c>
    </row>
    <row r="39" spans="1:4" x14ac:dyDescent="0.2">
      <c r="A39" t="str">
        <f t="shared" si="0"/>
        <v>catalog15_6001</v>
      </c>
      <c r="B39" t="s">
        <v>1831</v>
      </c>
      <c r="C39" t="s">
        <v>1832</v>
      </c>
      <c r="D39" t="s">
        <v>1832</v>
      </c>
    </row>
    <row r="40" spans="1:4" x14ac:dyDescent="0.2">
      <c r="A40" t="str">
        <f t="shared" si="0"/>
        <v>catalog15_6002</v>
      </c>
      <c r="B40" t="s">
        <v>1833</v>
      </c>
      <c r="C40" t="s">
        <v>1834</v>
      </c>
      <c r="D40" t="s">
        <v>1834</v>
      </c>
    </row>
    <row r="41" spans="1:4" x14ac:dyDescent="0.2">
      <c r="A41" t="str">
        <f t="shared" si="0"/>
        <v>catalog15_6003</v>
      </c>
      <c r="B41" t="s">
        <v>1835</v>
      </c>
      <c r="C41" t="s">
        <v>1836</v>
      </c>
      <c r="D41" t="s">
        <v>1836</v>
      </c>
    </row>
    <row r="42" spans="1:4" x14ac:dyDescent="0.2">
      <c r="A42" t="str">
        <f t="shared" si="0"/>
        <v>catalog15_6004</v>
      </c>
      <c r="B42" t="s">
        <v>1837</v>
      </c>
      <c r="C42" t="s">
        <v>1838</v>
      </c>
      <c r="D42" t="s">
        <v>1838</v>
      </c>
    </row>
    <row r="43" spans="1:4" x14ac:dyDescent="0.2">
      <c r="A43" t="str">
        <f t="shared" si="0"/>
        <v>catalog15_6005</v>
      </c>
      <c r="B43" t="s">
        <v>1839</v>
      </c>
      <c r="C43" t="s">
        <v>1840</v>
      </c>
      <c r="D43" t="s">
        <v>1840</v>
      </c>
    </row>
    <row r="44" spans="1:4" x14ac:dyDescent="0.2">
      <c r="A44" t="str">
        <f t="shared" si="0"/>
        <v>catalog15_6006</v>
      </c>
      <c r="B44" t="s">
        <v>1841</v>
      </c>
      <c r="C44" t="s">
        <v>1842</v>
      </c>
      <c r="D44" t="s">
        <v>1842</v>
      </c>
    </row>
    <row r="45" spans="1:4" x14ac:dyDescent="0.2">
      <c r="A45" t="str">
        <f t="shared" si="0"/>
        <v>catalog15_7000</v>
      </c>
      <c r="B45" t="s">
        <v>1843</v>
      </c>
      <c r="C45" t="s">
        <v>1844</v>
      </c>
      <c r="D45" t="s">
        <v>1844</v>
      </c>
    </row>
    <row r="46" spans="1:4" x14ac:dyDescent="0.2">
      <c r="A46" t="str">
        <f t="shared" si="0"/>
        <v>catalog15_7001</v>
      </c>
      <c r="B46" t="s">
        <v>1845</v>
      </c>
      <c r="C46" t="s">
        <v>1846</v>
      </c>
      <c r="D46" t="s">
        <v>1846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Roman,Normal"&amp;12&amp;A</oddHeader>
    <oddFooter>&amp;C&amp;"Times New Roman,Normal"&amp;12Página 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4"/>
  <sheetViews>
    <sheetView zoomScale="120" zoomScaleNormal="120" workbookViewId="0">
      <selection activeCell="A2" sqref="A2"/>
    </sheetView>
  </sheetViews>
  <sheetFormatPr baseColWidth="10" defaultColWidth="11.85546875" defaultRowHeight="12.75" x14ac:dyDescent="0.2"/>
  <cols>
    <col min="3" max="3" width="53.42578125" customWidth="1"/>
  </cols>
  <sheetData>
    <row r="1" spans="1:5" x14ac:dyDescent="0.2">
      <c r="A1" t="s">
        <v>0</v>
      </c>
      <c r="B1" t="s">
        <v>1</v>
      </c>
      <c r="C1" t="s">
        <v>2</v>
      </c>
      <c r="D1" s="1" t="s">
        <v>3</v>
      </c>
      <c r="E1" t="s">
        <v>1640</v>
      </c>
    </row>
    <row r="2" spans="1:5" x14ac:dyDescent="0.2">
      <c r="A2" t="str">
        <f>CONCATENATE("catalog16_",B2)</f>
        <v>catalog16_01</v>
      </c>
      <c r="B2" t="s">
        <v>4</v>
      </c>
      <c r="C2" t="s">
        <v>1847</v>
      </c>
      <c r="E2" t="s">
        <v>1643</v>
      </c>
    </row>
    <row r="3" spans="1:5" x14ac:dyDescent="0.2">
      <c r="A3" t="str">
        <f>CONCATENATE("catalog16_",B3)</f>
        <v>catalog16_02</v>
      </c>
      <c r="B3" t="s">
        <v>1700</v>
      </c>
      <c r="C3" t="s">
        <v>1848</v>
      </c>
      <c r="E3" t="s">
        <v>1643</v>
      </c>
    </row>
    <row r="4" spans="1:5" x14ac:dyDescent="0.2">
      <c r="A4" t="str">
        <f>CONCATENATE("catalog16_",B4)</f>
        <v>catalog16_03</v>
      </c>
      <c r="B4" t="s">
        <v>6</v>
      </c>
      <c r="C4" t="s">
        <v>1849</v>
      </c>
      <c r="E4" t="s">
        <v>1656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Roman,Normal"&amp;12&amp;A</oddHeader>
    <oddFooter>&amp;C&amp;"Times New Roman,Normal"&amp;12Página 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21"/>
  <sheetViews>
    <sheetView zoomScale="120" zoomScaleNormal="120" workbookViewId="0">
      <selection activeCell="A2" sqref="A2"/>
    </sheetView>
  </sheetViews>
  <sheetFormatPr baseColWidth="10" defaultColWidth="11.85546875" defaultRowHeight="12.75" x14ac:dyDescent="0.2"/>
  <sheetData>
    <row r="1" spans="1:4" x14ac:dyDescent="0.2">
      <c r="A1" t="s">
        <v>0</v>
      </c>
      <c r="B1" t="s">
        <v>1</v>
      </c>
      <c r="C1" t="s">
        <v>2</v>
      </c>
      <c r="D1" s="1" t="s">
        <v>3</v>
      </c>
    </row>
    <row r="2" spans="1:4" x14ac:dyDescent="0.2">
      <c r="A2" t="str">
        <f t="shared" ref="A2:A21" si="0">CONCATENATE("catalog17_",B2)</f>
        <v>catalog17_01</v>
      </c>
      <c r="B2" t="s">
        <v>4</v>
      </c>
      <c r="C2" t="s">
        <v>1850</v>
      </c>
    </row>
    <row r="3" spans="1:4" x14ac:dyDescent="0.2">
      <c r="A3" t="str">
        <f t="shared" si="0"/>
        <v>catalog17_02</v>
      </c>
      <c r="B3" t="s">
        <v>1700</v>
      </c>
      <c r="C3" t="s">
        <v>1851</v>
      </c>
    </row>
    <row r="4" spans="1:4" x14ac:dyDescent="0.2">
      <c r="A4" t="str">
        <f t="shared" si="0"/>
        <v>catalog17_03</v>
      </c>
      <c r="B4" t="s">
        <v>6</v>
      </c>
      <c r="C4" t="s">
        <v>1852</v>
      </c>
    </row>
    <row r="5" spans="1:4" x14ac:dyDescent="0.2">
      <c r="A5" t="str">
        <f t="shared" si="0"/>
        <v>catalog17_04</v>
      </c>
      <c r="B5" t="s">
        <v>1706</v>
      </c>
      <c r="C5" t="s">
        <v>1853</v>
      </c>
    </row>
    <row r="6" spans="1:4" x14ac:dyDescent="0.2">
      <c r="A6" t="str">
        <f t="shared" si="0"/>
        <v>catalog17_05</v>
      </c>
      <c r="B6" t="s">
        <v>1708</v>
      </c>
      <c r="C6" t="s">
        <v>1854</v>
      </c>
    </row>
    <row r="7" spans="1:4" x14ac:dyDescent="0.2">
      <c r="A7" t="str">
        <f t="shared" si="0"/>
        <v>catalog17_06</v>
      </c>
      <c r="B7" t="s">
        <v>8</v>
      </c>
      <c r="C7" t="s">
        <v>1855</v>
      </c>
    </row>
    <row r="8" spans="1:4" x14ac:dyDescent="0.2">
      <c r="A8" t="str">
        <f t="shared" si="0"/>
        <v>catalog17_07</v>
      </c>
      <c r="B8" t="s">
        <v>10</v>
      </c>
      <c r="C8" t="s">
        <v>1856</v>
      </c>
    </row>
    <row r="9" spans="1:4" x14ac:dyDescent="0.2">
      <c r="A9" t="str">
        <f t="shared" si="0"/>
        <v>catalog17_08</v>
      </c>
      <c r="B9" t="s">
        <v>12</v>
      </c>
      <c r="C9" t="s">
        <v>1857</v>
      </c>
    </row>
    <row r="10" spans="1:4" x14ac:dyDescent="0.2">
      <c r="A10" t="str">
        <f t="shared" si="0"/>
        <v>catalog17_10</v>
      </c>
      <c r="B10" t="s">
        <v>1663</v>
      </c>
      <c r="C10" t="s">
        <v>1858</v>
      </c>
    </row>
    <row r="11" spans="1:4" x14ac:dyDescent="0.2">
      <c r="A11" t="str">
        <f t="shared" si="0"/>
        <v>catalog17_11</v>
      </c>
      <c r="B11" t="s">
        <v>1665</v>
      </c>
      <c r="C11" t="s">
        <v>1859</v>
      </c>
    </row>
    <row r="12" spans="1:4" x14ac:dyDescent="0.2">
      <c r="A12" t="str">
        <f t="shared" si="0"/>
        <v>catalog17_12</v>
      </c>
      <c r="B12" t="s">
        <v>16</v>
      </c>
      <c r="C12" t="s">
        <v>1860</v>
      </c>
    </row>
    <row r="13" spans="1:4" x14ac:dyDescent="0.2">
      <c r="A13" t="str">
        <f t="shared" si="0"/>
        <v>catalog17_13</v>
      </c>
      <c r="B13" t="s">
        <v>18</v>
      </c>
      <c r="C13" t="s">
        <v>1861</v>
      </c>
    </row>
    <row r="14" spans="1:4" x14ac:dyDescent="0.2">
      <c r="A14" t="str">
        <f t="shared" si="0"/>
        <v>catalog17_14</v>
      </c>
      <c r="B14" t="s">
        <v>1669</v>
      </c>
      <c r="C14" t="s">
        <v>1862</v>
      </c>
    </row>
    <row r="15" spans="1:4" x14ac:dyDescent="0.2">
      <c r="A15" t="str">
        <f t="shared" si="0"/>
        <v>catalog17_15</v>
      </c>
      <c r="B15" t="s">
        <v>1671</v>
      </c>
      <c r="C15" t="s">
        <v>1863</v>
      </c>
    </row>
    <row r="16" spans="1:4" x14ac:dyDescent="0.2">
      <c r="A16" t="str">
        <f t="shared" si="0"/>
        <v>catalog17_16</v>
      </c>
      <c r="B16" t="s">
        <v>1673</v>
      </c>
      <c r="C16" t="s">
        <v>1864</v>
      </c>
    </row>
    <row r="17" spans="1:3" x14ac:dyDescent="0.2">
      <c r="A17" t="str">
        <f t="shared" si="0"/>
        <v>catalog17_17</v>
      </c>
      <c r="B17" t="s">
        <v>1675</v>
      </c>
      <c r="C17" t="s">
        <v>1865</v>
      </c>
    </row>
    <row r="18" spans="1:3" x14ac:dyDescent="0.2">
      <c r="A18" t="str">
        <f t="shared" si="0"/>
        <v>catalog17_18</v>
      </c>
      <c r="B18" t="s">
        <v>25</v>
      </c>
      <c r="C18" t="s">
        <v>1866</v>
      </c>
    </row>
    <row r="19" spans="1:3" x14ac:dyDescent="0.2">
      <c r="A19" t="str">
        <f t="shared" si="0"/>
        <v>catalog17_19</v>
      </c>
      <c r="B19" t="s">
        <v>1867</v>
      </c>
      <c r="C19" t="s">
        <v>1868</v>
      </c>
    </row>
    <row r="20" spans="1:3" x14ac:dyDescent="0.2">
      <c r="A20" t="str">
        <f t="shared" si="0"/>
        <v>catalog17_20</v>
      </c>
      <c r="B20" t="s">
        <v>27</v>
      </c>
      <c r="C20" t="s">
        <v>1869</v>
      </c>
    </row>
    <row r="21" spans="1:3" x14ac:dyDescent="0.2">
      <c r="A21" t="str">
        <f t="shared" si="0"/>
        <v>catalog17_21</v>
      </c>
      <c r="B21" t="s">
        <v>1679</v>
      </c>
      <c r="C21" t="s">
        <v>1870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Roman,Normal"&amp;12&amp;A</oddHeader>
    <oddFooter>&amp;C&amp;"Times New Roman,Normal"&amp;12Página 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D3"/>
  <sheetViews>
    <sheetView zoomScale="120" zoomScaleNormal="120" workbookViewId="0">
      <selection activeCell="A2" sqref="A2"/>
    </sheetView>
  </sheetViews>
  <sheetFormatPr baseColWidth="10" defaultColWidth="11.85546875" defaultRowHeight="12.75" x14ac:dyDescent="0.2"/>
  <sheetData>
    <row r="1" spans="1:4" x14ac:dyDescent="0.2">
      <c r="A1" t="s">
        <v>0</v>
      </c>
      <c r="B1" t="s">
        <v>1</v>
      </c>
      <c r="C1" t="s">
        <v>2</v>
      </c>
      <c r="D1" s="1" t="s">
        <v>3</v>
      </c>
    </row>
    <row r="2" spans="1:4" x14ac:dyDescent="0.2">
      <c r="A2" t="str">
        <f>CONCATENATE("catalog18_",B2)</f>
        <v>catalog18_01</v>
      </c>
      <c r="B2" t="s">
        <v>4</v>
      </c>
      <c r="C2" t="s">
        <v>1871</v>
      </c>
    </row>
    <row r="3" spans="1:4" x14ac:dyDescent="0.2">
      <c r="A3" t="str">
        <f>CONCATENATE("catalog18_",B3)</f>
        <v>catalog18_02</v>
      </c>
      <c r="B3" t="s">
        <v>1700</v>
      </c>
      <c r="C3" t="s">
        <v>1872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Roman,Normal"&amp;12&amp;A</oddHeader>
    <oddFooter>&amp;C&amp;"Times New Roman,Normal"&amp;12Página &amp;P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D4"/>
  <sheetViews>
    <sheetView topLeftCell="L1" zoomScale="120" zoomScaleNormal="120" workbookViewId="0">
      <selection activeCell="A2" sqref="A2"/>
    </sheetView>
  </sheetViews>
  <sheetFormatPr baseColWidth="10" defaultColWidth="11.85546875" defaultRowHeight="12.75" x14ac:dyDescent="0.2"/>
  <sheetData>
    <row r="1" spans="1:4" x14ac:dyDescent="0.2">
      <c r="A1" t="s">
        <v>0</v>
      </c>
      <c r="B1" t="s">
        <v>1</v>
      </c>
      <c r="C1" t="s">
        <v>2</v>
      </c>
      <c r="D1" s="1" t="s">
        <v>3</v>
      </c>
    </row>
    <row r="2" spans="1:4" x14ac:dyDescent="0.2">
      <c r="A2" t="str">
        <f>CONCATENATE("catalog19_",B2)</f>
        <v>catalog19_1</v>
      </c>
      <c r="B2" t="s">
        <v>1644</v>
      </c>
      <c r="C2" t="s">
        <v>1873</v>
      </c>
    </row>
    <row r="3" spans="1:4" x14ac:dyDescent="0.2">
      <c r="A3" t="str">
        <f>CONCATENATE("catalog19_",B3)</f>
        <v>catalog19_2</v>
      </c>
      <c r="B3" t="s">
        <v>1874</v>
      </c>
      <c r="C3" t="s">
        <v>1875</v>
      </c>
    </row>
    <row r="4" spans="1:4" x14ac:dyDescent="0.2">
      <c r="A4" t="str">
        <f>CONCATENATE("catalog19_",B4)</f>
        <v>catalog19_3</v>
      </c>
      <c r="B4" t="s">
        <v>1876</v>
      </c>
      <c r="C4" t="s">
        <v>1877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Roman,Normal"&amp;12&amp;A</oddHeader>
    <oddFooter>&amp;C&amp;"Times New Roman,Normal"&amp;12Página &amp;P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E15"/>
  <sheetViews>
    <sheetView zoomScale="120" zoomScaleNormal="120" workbookViewId="0">
      <selection activeCell="E15" sqref="E15"/>
    </sheetView>
  </sheetViews>
  <sheetFormatPr baseColWidth="10" defaultColWidth="11.85546875" defaultRowHeight="12.75" x14ac:dyDescent="0.2"/>
  <cols>
    <col min="3" max="3" width="45.5703125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1640</v>
      </c>
    </row>
    <row r="2" spans="1:5" x14ac:dyDescent="0.2">
      <c r="A2" t="str">
        <f t="shared" ref="A2:A15" si="0">CONCATENATE("catalog20_",B2)</f>
        <v>catalog20_01</v>
      </c>
      <c r="B2" s="5" t="s">
        <v>4</v>
      </c>
      <c r="C2" t="s">
        <v>1878</v>
      </c>
      <c r="E2">
        <v>1</v>
      </c>
    </row>
    <row r="3" spans="1:5" x14ac:dyDescent="0.2">
      <c r="A3" t="str">
        <f t="shared" si="0"/>
        <v>catalog20_02</v>
      </c>
      <c r="B3" s="5" t="s">
        <v>1700</v>
      </c>
      <c r="C3" t="s">
        <v>1879</v>
      </c>
      <c r="E3">
        <v>1</v>
      </c>
    </row>
    <row r="4" spans="1:5" x14ac:dyDescent="0.2">
      <c r="A4" t="str">
        <f t="shared" si="0"/>
        <v>catalog20_03</v>
      </c>
      <c r="B4" s="5" t="s">
        <v>6</v>
      </c>
      <c r="C4" t="s">
        <v>1880</v>
      </c>
      <c r="E4">
        <v>1</v>
      </c>
    </row>
    <row r="5" spans="1:5" x14ac:dyDescent="0.2">
      <c r="A5" t="str">
        <f t="shared" si="0"/>
        <v>catalog20_04</v>
      </c>
      <c r="B5" s="5" t="s">
        <v>1706</v>
      </c>
      <c r="C5" t="s">
        <v>1881</v>
      </c>
      <c r="E5">
        <v>1</v>
      </c>
    </row>
    <row r="6" spans="1:5" x14ac:dyDescent="0.2">
      <c r="A6" t="str">
        <f t="shared" si="0"/>
        <v>catalog20_05</v>
      </c>
      <c r="B6" s="5" t="s">
        <v>1708</v>
      </c>
      <c r="C6" t="s">
        <v>1882</v>
      </c>
      <c r="E6">
        <v>1</v>
      </c>
    </row>
    <row r="7" spans="1:5" x14ac:dyDescent="0.2">
      <c r="A7" t="str">
        <f t="shared" si="0"/>
        <v>catalog20_06</v>
      </c>
      <c r="B7" s="5" t="s">
        <v>8</v>
      </c>
      <c r="C7" t="s">
        <v>1883</v>
      </c>
      <c r="E7">
        <v>1</v>
      </c>
    </row>
    <row r="8" spans="1:5" x14ac:dyDescent="0.2">
      <c r="A8" t="str">
        <f t="shared" si="0"/>
        <v>catalog20_07</v>
      </c>
      <c r="B8" s="5" t="s">
        <v>10</v>
      </c>
      <c r="C8" t="s">
        <v>1884</v>
      </c>
      <c r="E8">
        <v>1</v>
      </c>
    </row>
    <row r="9" spans="1:5" x14ac:dyDescent="0.2">
      <c r="A9" t="str">
        <f t="shared" si="0"/>
        <v>catalog20_08</v>
      </c>
      <c r="B9" s="5" t="s">
        <v>12</v>
      </c>
      <c r="C9" t="s">
        <v>1885</v>
      </c>
      <c r="E9">
        <v>1</v>
      </c>
    </row>
    <row r="10" spans="1:5" x14ac:dyDescent="0.2">
      <c r="A10" t="str">
        <f t="shared" si="0"/>
        <v>catalog20_09</v>
      </c>
      <c r="B10" s="5" t="s">
        <v>14</v>
      </c>
      <c r="C10" t="s">
        <v>1625</v>
      </c>
      <c r="E10">
        <v>1</v>
      </c>
    </row>
    <row r="11" spans="1:5" x14ac:dyDescent="0.2">
      <c r="A11" t="str">
        <f t="shared" si="0"/>
        <v>catalog20_13</v>
      </c>
      <c r="B11" s="5" t="s">
        <v>18</v>
      </c>
      <c r="C11" t="s">
        <v>1734</v>
      </c>
      <c r="E11">
        <v>1</v>
      </c>
    </row>
    <row r="12" spans="1:5" x14ac:dyDescent="0.2">
      <c r="A12" t="str">
        <f t="shared" si="0"/>
        <v>catalog20_14</v>
      </c>
      <c r="B12" s="5" t="s">
        <v>1669</v>
      </c>
      <c r="C12" t="s">
        <v>1886</v>
      </c>
      <c r="E12">
        <v>1</v>
      </c>
    </row>
    <row r="13" spans="1:5" x14ac:dyDescent="0.2">
      <c r="A13" t="str">
        <f t="shared" si="0"/>
        <v>catalog20_17</v>
      </c>
      <c r="B13" s="5" t="s">
        <v>1675</v>
      </c>
      <c r="C13" t="s">
        <v>1887</v>
      </c>
      <c r="E13">
        <v>1</v>
      </c>
    </row>
    <row r="14" spans="1:5" x14ac:dyDescent="0.2">
      <c r="A14" t="str">
        <f t="shared" si="0"/>
        <v>catalog20_18</v>
      </c>
      <c r="B14" s="5" t="s">
        <v>25</v>
      </c>
      <c r="C14" t="s">
        <v>1888</v>
      </c>
      <c r="E14">
        <v>1</v>
      </c>
    </row>
    <row r="15" spans="1:5" x14ac:dyDescent="0.2">
      <c r="A15" t="str">
        <f t="shared" si="0"/>
        <v>catalog20_19</v>
      </c>
      <c r="B15" s="5" t="s">
        <v>1867</v>
      </c>
      <c r="C15" t="s">
        <v>1889</v>
      </c>
      <c r="E15">
        <v>0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Roman,Normal"&amp;12&amp;A</oddHeader>
    <oddFooter>&amp;C&amp;"Times New Roman,Normal"&amp;12Página &amp;P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D7"/>
  <sheetViews>
    <sheetView zoomScale="120" zoomScaleNormal="120" workbookViewId="0">
      <selection activeCell="A2" sqref="A2"/>
    </sheetView>
  </sheetViews>
  <sheetFormatPr baseColWidth="10" defaultColWidth="11.85546875" defaultRowHeight="12.75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tr">
        <f t="shared" ref="A2:A7" si="0">CONCATENATE("catalog21_",B2)</f>
        <v>catalog21_01</v>
      </c>
      <c r="B2" t="s">
        <v>4</v>
      </c>
      <c r="C2" t="s">
        <v>1890</v>
      </c>
    </row>
    <row r="3" spans="1:4" x14ac:dyDescent="0.2">
      <c r="A3" t="str">
        <f t="shared" si="0"/>
        <v>catalog21_02</v>
      </c>
      <c r="B3" t="s">
        <v>1700</v>
      </c>
      <c r="C3" t="s">
        <v>1891</v>
      </c>
    </row>
    <row r="4" spans="1:4" x14ac:dyDescent="0.2">
      <c r="A4" t="str">
        <f t="shared" si="0"/>
        <v>catalog21_03</v>
      </c>
      <c r="B4" t="s">
        <v>6</v>
      </c>
      <c r="C4" t="s">
        <v>1892</v>
      </c>
    </row>
    <row r="5" spans="1:4" x14ac:dyDescent="0.2">
      <c r="A5" t="str">
        <f t="shared" si="0"/>
        <v>catalog21_04</v>
      </c>
      <c r="B5" t="s">
        <v>1706</v>
      </c>
      <c r="C5" t="s">
        <v>1893</v>
      </c>
    </row>
    <row r="6" spans="1:4" x14ac:dyDescent="0.2">
      <c r="A6" t="str">
        <f t="shared" si="0"/>
        <v>catalog21_05</v>
      </c>
      <c r="B6" t="s">
        <v>1708</v>
      </c>
      <c r="C6" t="s">
        <v>1894</v>
      </c>
    </row>
    <row r="7" spans="1:4" x14ac:dyDescent="0.2">
      <c r="A7" t="str">
        <f t="shared" si="0"/>
        <v>catalog21_06</v>
      </c>
      <c r="B7" t="s">
        <v>8</v>
      </c>
      <c r="C7" t="s">
        <v>1734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Roman,Normal"&amp;12&amp;A</oddHeader>
    <oddFooter>&amp;C&amp;"Times New Roman,Normal"&amp;12Página &amp;P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E4"/>
  <sheetViews>
    <sheetView zoomScale="120" zoomScaleNormal="120" workbookViewId="0">
      <selection activeCell="A2" sqref="A2"/>
    </sheetView>
  </sheetViews>
  <sheetFormatPr baseColWidth="10" defaultColWidth="11.85546875" defaultRowHeight="12.75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1895</v>
      </c>
    </row>
    <row r="2" spans="1:5" x14ac:dyDescent="0.2">
      <c r="A2" t="str">
        <f>CONCATENATE("catalog22_",B2)</f>
        <v>catalog22_01</v>
      </c>
      <c r="B2" t="s">
        <v>4</v>
      </c>
      <c r="C2" t="s">
        <v>1896</v>
      </c>
      <c r="E2">
        <v>2</v>
      </c>
    </row>
    <row r="3" spans="1:5" x14ac:dyDescent="0.2">
      <c r="A3" t="str">
        <f>CONCATENATE("catalog22_",B3)</f>
        <v>catalog22_02</v>
      </c>
      <c r="B3" t="s">
        <v>1700</v>
      </c>
      <c r="C3" t="s">
        <v>1897</v>
      </c>
      <c r="E3">
        <v>1</v>
      </c>
    </row>
    <row r="4" spans="1:5" x14ac:dyDescent="0.2">
      <c r="A4" t="str">
        <f>CONCATENATE("catalog22_",B4)</f>
        <v>catalog22_03</v>
      </c>
      <c r="B4" t="s">
        <v>6</v>
      </c>
      <c r="C4" t="s">
        <v>1898</v>
      </c>
      <c r="E4">
        <v>0.5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Roman,Normal"&amp;12&amp;A</oddHeader>
    <oddFooter>&amp;C&amp;"Times New Roman,Normal"&amp;12Página &amp;P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D3"/>
  <sheetViews>
    <sheetView zoomScale="120" zoomScaleNormal="120" workbookViewId="0">
      <selection activeCell="A2" sqref="A2"/>
    </sheetView>
  </sheetViews>
  <sheetFormatPr baseColWidth="10" defaultColWidth="11.85546875" defaultRowHeight="12.75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tr">
        <f>CONCATENATE("catalog23_",B2)</f>
        <v>catalog23_01</v>
      </c>
      <c r="B2" t="s">
        <v>4</v>
      </c>
      <c r="C2" t="s">
        <v>1899</v>
      </c>
    </row>
    <row r="3" spans="1:4" x14ac:dyDescent="0.2">
      <c r="A3" t="str">
        <f>CONCATENATE("catalog23_",B3)</f>
        <v>catalog23_02</v>
      </c>
      <c r="B3" t="s">
        <v>1700</v>
      </c>
      <c r="C3" t="s">
        <v>1900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Roman,Normal"&amp;12&amp;A</oddHeader>
    <oddFooter>&amp;C&amp;"Times New Roman,Normal"&amp;12Página &amp;P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D29"/>
  <sheetViews>
    <sheetView zoomScale="120" zoomScaleNormal="120" workbookViewId="0">
      <selection activeCell="A2" sqref="A2"/>
    </sheetView>
  </sheetViews>
  <sheetFormatPr baseColWidth="10" defaultColWidth="11.85546875" defaultRowHeight="12.75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tr">
        <f t="shared" ref="A2:A29" si="0">CONCATENATE("catalog24_",B2)</f>
        <v>catalog24_L001</v>
      </c>
      <c r="B2" t="s">
        <v>1901</v>
      </c>
      <c r="C2" t="s">
        <v>1006</v>
      </c>
      <c r="D2" t="s">
        <v>1902</v>
      </c>
    </row>
    <row r="3" spans="1:4" x14ac:dyDescent="0.2">
      <c r="A3" t="str">
        <f t="shared" si="0"/>
        <v>catalog24_L002</v>
      </c>
      <c r="B3" t="s">
        <v>1903</v>
      </c>
      <c r="C3" t="s">
        <v>1904</v>
      </c>
      <c r="D3" t="s">
        <v>1902</v>
      </c>
    </row>
    <row r="4" spans="1:4" x14ac:dyDescent="0.2">
      <c r="A4" t="str">
        <f t="shared" si="0"/>
        <v>catalog24_L003</v>
      </c>
      <c r="B4" t="s">
        <v>1905</v>
      </c>
      <c r="C4" t="s">
        <v>1906</v>
      </c>
      <c r="D4" t="s">
        <v>1902</v>
      </c>
    </row>
    <row r="5" spans="1:4" x14ac:dyDescent="0.2">
      <c r="A5" t="str">
        <f t="shared" si="0"/>
        <v>catalog24_L004</v>
      </c>
      <c r="B5" t="s">
        <v>1907</v>
      </c>
      <c r="C5" t="s">
        <v>1908</v>
      </c>
      <c r="D5" t="s">
        <v>1902</v>
      </c>
    </row>
    <row r="6" spans="1:4" x14ac:dyDescent="0.2">
      <c r="A6" t="str">
        <f t="shared" si="0"/>
        <v>catalog24_L005</v>
      </c>
      <c r="B6" t="s">
        <v>1909</v>
      </c>
      <c r="C6" t="s">
        <v>1910</v>
      </c>
      <c r="D6" t="s">
        <v>1902</v>
      </c>
    </row>
    <row r="7" spans="1:4" x14ac:dyDescent="0.2">
      <c r="A7" t="str">
        <f t="shared" si="0"/>
        <v>catalog24_L006</v>
      </c>
      <c r="B7" t="s">
        <v>1911</v>
      </c>
      <c r="C7" t="s">
        <v>1912</v>
      </c>
      <c r="D7" t="s">
        <v>1902</v>
      </c>
    </row>
    <row r="8" spans="1:4" x14ac:dyDescent="0.2">
      <c r="A8" t="str">
        <f t="shared" si="0"/>
        <v>catalog24_L007</v>
      </c>
      <c r="B8" t="s">
        <v>1913</v>
      </c>
      <c r="C8" t="s">
        <v>1914</v>
      </c>
      <c r="D8" t="s">
        <v>1902</v>
      </c>
    </row>
    <row r="9" spans="1:4" x14ac:dyDescent="0.2">
      <c r="A9" t="str">
        <f t="shared" si="0"/>
        <v>catalog24_L008</v>
      </c>
      <c r="B9" t="s">
        <v>1915</v>
      </c>
      <c r="C9" t="s">
        <v>1916</v>
      </c>
      <c r="D9" t="s">
        <v>1902</v>
      </c>
    </row>
    <row r="10" spans="1:4" x14ac:dyDescent="0.2">
      <c r="A10" t="str">
        <f t="shared" si="0"/>
        <v>catalog24_L009</v>
      </c>
      <c r="B10" t="s">
        <v>1917</v>
      </c>
      <c r="C10" t="s">
        <v>1918</v>
      </c>
      <c r="D10" t="s">
        <v>1902</v>
      </c>
    </row>
    <row r="11" spans="1:4" x14ac:dyDescent="0.2">
      <c r="A11" t="str">
        <f t="shared" si="0"/>
        <v>catalog24_L010</v>
      </c>
      <c r="B11" t="s">
        <v>1919</v>
      </c>
      <c r="C11" t="s">
        <v>1920</v>
      </c>
      <c r="D11" t="s">
        <v>1902</v>
      </c>
    </row>
    <row r="12" spans="1:4" x14ac:dyDescent="0.2">
      <c r="A12" t="str">
        <f t="shared" si="0"/>
        <v>catalog24_L011</v>
      </c>
      <c r="B12" t="s">
        <v>1921</v>
      </c>
      <c r="C12" t="s">
        <v>1922</v>
      </c>
      <c r="D12" t="s">
        <v>1902</v>
      </c>
    </row>
    <row r="13" spans="1:4" x14ac:dyDescent="0.2">
      <c r="A13" t="str">
        <f t="shared" si="0"/>
        <v>catalog24_L012</v>
      </c>
      <c r="B13" t="s">
        <v>1923</v>
      </c>
      <c r="C13" t="s">
        <v>1924</v>
      </c>
      <c r="D13" t="s">
        <v>1902</v>
      </c>
    </row>
    <row r="14" spans="1:4" x14ac:dyDescent="0.2">
      <c r="A14" t="str">
        <f t="shared" si="0"/>
        <v>catalog24_L013</v>
      </c>
      <c r="B14" t="s">
        <v>1925</v>
      </c>
      <c r="C14" t="s">
        <v>1926</v>
      </c>
      <c r="D14" t="s">
        <v>1902</v>
      </c>
    </row>
    <row r="15" spans="1:4" x14ac:dyDescent="0.2">
      <c r="A15" t="str">
        <f t="shared" si="0"/>
        <v>catalog24_L014</v>
      </c>
      <c r="B15" t="s">
        <v>1927</v>
      </c>
      <c r="C15" t="s">
        <v>1928</v>
      </c>
      <c r="D15" t="s">
        <v>1902</v>
      </c>
    </row>
    <row r="16" spans="1:4" x14ac:dyDescent="0.2">
      <c r="A16" t="str">
        <f t="shared" si="0"/>
        <v>catalog24_L015</v>
      </c>
      <c r="B16" t="s">
        <v>1929</v>
      </c>
      <c r="C16" t="s">
        <v>1930</v>
      </c>
      <c r="D16" t="s">
        <v>1902</v>
      </c>
    </row>
    <row r="17" spans="1:4" x14ac:dyDescent="0.2">
      <c r="A17" t="str">
        <f t="shared" si="0"/>
        <v>catalog24_A011</v>
      </c>
      <c r="B17" t="s">
        <v>1931</v>
      </c>
      <c r="C17" t="s">
        <v>1932</v>
      </c>
      <c r="D17" t="s">
        <v>1933</v>
      </c>
    </row>
    <row r="18" spans="1:4" x14ac:dyDescent="0.2">
      <c r="A18" t="str">
        <f t="shared" si="0"/>
        <v>catalog24_A012</v>
      </c>
      <c r="B18" t="s">
        <v>1934</v>
      </c>
      <c r="C18" t="s">
        <v>1935</v>
      </c>
      <c r="D18" t="s">
        <v>1933</v>
      </c>
    </row>
    <row r="19" spans="1:4" x14ac:dyDescent="0.2">
      <c r="A19" t="str">
        <f t="shared" si="0"/>
        <v>catalog24_A014</v>
      </c>
      <c r="B19" t="s">
        <v>1936</v>
      </c>
      <c r="C19" t="s">
        <v>1937</v>
      </c>
      <c r="D19" t="s">
        <v>1933</v>
      </c>
    </row>
    <row r="20" spans="1:4" x14ac:dyDescent="0.2">
      <c r="A20" t="str">
        <f t="shared" si="0"/>
        <v>catalog24_A015</v>
      </c>
      <c r="B20" t="s">
        <v>1938</v>
      </c>
      <c r="C20" t="s">
        <v>1939</v>
      </c>
      <c r="D20" t="s">
        <v>1933</v>
      </c>
    </row>
    <row r="21" spans="1:4" x14ac:dyDescent="0.2">
      <c r="A21" t="str">
        <f t="shared" si="0"/>
        <v>catalog24_G001</v>
      </c>
      <c r="B21" t="s">
        <v>1940</v>
      </c>
      <c r="C21" t="s">
        <v>1941</v>
      </c>
      <c r="D21" t="s">
        <v>1942</v>
      </c>
    </row>
    <row r="22" spans="1:4" x14ac:dyDescent="0.2">
      <c r="A22" t="str">
        <f t="shared" si="0"/>
        <v>catalog24_G002</v>
      </c>
      <c r="B22" t="s">
        <v>1943</v>
      </c>
      <c r="C22" t="s">
        <v>1944</v>
      </c>
      <c r="D22" t="s">
        <v>1942</v>
      </c>
    </row>
    <row r="23" spans="1:4" x14ac:dyDescent="0.2">
      <c r="A23" t="str">
        <f t="shared" si="0"/>
        <v>catalog24_G003</v>
      </c>
      <c r="B23" t="s">
        <v>1945</v>
      </c>
      <c r="C23" t="s">
        <v>1946</v>
      </c>
      <c r="D23" t="s">
        <v>1942</v>
      </c>
    </row>
    <row r="24" spans="1:4" x14ac:dyDescent="0.2">
      <c r="A24" t="str">
        <f t="shared" si="0"/>
        <v>catalog24_G004</v>
      </c>
      <c r="B24" t="s">
        <v>1947</v>
      </c>
      <c r="C24" t="s">
        <v>1948</v>
      </c>
      <c r="D24" t="s">
        <v>1942</v>
      </c>
    </row>
    <row r="25" spans="1:4" x14ac:dyDescent="0.2">
      <c r="A25" t="str">
        <f t="shared" si="0"/>
        <v>catalog24_G005</v>
      </c>
      <c r="B25" t="s">
        <v>1949</v>
      </c>
      <c r="C25" t="s">
        <v>1950</v>
      </c>
      <c r="D25" t="s">
        <v>1942</v>
      </c>
    </row>
    <row r="26" spans="1:4" x14ac:dyDescent="0.2">
      <c r="A26" t="str">
        <f t="shared" si="0"/>
        <v>catalog24_G006</v>
      </c>
      <c r="B26" t="s">
        <v>1951</v>
      </c>
      <c r="C26" t="s">
        <v>1952</v>
      </c>
      <c r="D26" t="s">
        <v>1942</v>
      </c>
    </row>
    <row r="27" spans="1:4" x14ac:dyDescent="0.2">
      <c r="A27" t="str">
        <f t="shared" si="0"/>
        <v>catalog24_G007</v>
      </c>
      <c r="B27" t="s">
        <v>1953</v>
      </c>
      <c r="C27" t="s">
        <v>1954</v>
      </c>
      <c r="D27" t="s">
        <v>1942</v>
      </c>
    </row>
    <row r="28" spans="1:4" x14ac:dyDescent="0.2">
      <c r="A28" t="str">
        <f t="shared" si="0"/>
        <v>catalog24_G008</v>
      </c>
      <c r="B28" t="s">
        <v>1955</v>
      </c>
      <c r="C28" t="s">
        <v>1956</v>
      </c>
      <c r="D28" t="s">
        <v>1942</v>
      </c>
    </row>
    <row r="29" spans="1:4" x14ac:dyDescent="0.2">
      <c r="A29" t="str">
        <f t="shared" si="0"/>
        <v>catalog24_G009</v>
      </c>
      <c r="B29" t="s">
        <v>1957</v>
      </c>
      <c r="C29" t="s">
        <v>1958</v>
      </c>
      <c r="D29" t="s">
        <v>1942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Roman,Normal"&amp;12&amp;A</oddHeader>
    <oddFooter>&amp;C&amp;"Times New Roman,Normal"&amp;12Página &amp;P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D4"/>
  <sheetViews>
    <sheetView zoomScale="120" zoomScaleNormal="120" workbookViewId="0">
      <selection activeCell="D1" sqref="D1"/>
    </sheetView>
  </sheetViews>
  <sheetFormatPr baseColWidth="10" defaultColWidth="11.85546875" defaultRowHeight="12.75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tr">
        <f>CONCATENATE("catalog26_",B2)</f>
        <v>catalog26_0</v>
      </c>
      <c r="B2">
        <v>0</v>
      </c>
      <c r="C2" t="s">
        <v>1959</v>
      </c>
    </row>
    <row r="3" spans="1:4" x14ac:dyDescent="0.2">
      <c r="A3" t="str">
        <f>CONCATENATE("catalog26_",B3)</f>
        <v>catalog26_1</v>
      </c>
      <c r="B3">
        <v>1</v>
      </c>
      <c r="C3" t="s">
        <v>1960</v>
      </c>
    </row>
    <row r="4" spans="1:4" x14ac:dyDescent="0.2">
      <c r="A4" t="str">
        <f>CONCATENATE("catalog26_",B4)</f>
        <v>catalog26_2</v>
      </c>
      <c r="B4">
        <v>2</v>
      </c>
      <c r="C4" t="s">
        <v>1961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Roman,Normal"&amp;12&amp;A</oddHeader>
    <oddFooter>&amp;C&amp;"Times New Roman,Normal"&amp;12Página &amp;P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D5"/>
  <sheetViews>
    <sheetView zoomScale="120" zoomScaleNormal="120" workbookViewId="0">
      <selection activeCell="A2" sqref="A2"/>
    </sheetView>
  </sheetViews>
  <sheetFormatPr baseColWidth="10" defaultColWidth="11.85546875" defaultRowHeight="12.75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tr">
        <f>CONCATENATE("catalog27_",B2)</f>
        <v>catalog27_0</v>
      </c>
      <c r="B2">
        <v>0</v>
      </c>
      <c r="C2" t="s">
        <v>1962</v>
      </c>
    </row>
    <row r="3" spans="1:4" x14ac:dyDescent="0.2">
      <c r="A3" t="str">
        <f>CONCATENATE("catalog27_",B3)</f>
        <v>catalog27_1</v>
      </c>
      <c r="B3">
        <v>1</v>
      </c>
      <c r="C3" t="s">
        <v>1963</v>
      </c>
    </row>
    <row r="4" spans="1:4" x14ac:dyDescent="0.2">
      <c r="A4" t="str">
        <f>CONCATENATE("catalog27_",B4)</f>
        <v>catalog27_2</v>
      </c>
      <c r="B4">
        <v>2</v>
      </c>
      <c r="C4" t="s">
        <v>1964</v>
      </c>
    </row>
    <row r="5" spans="1:4" x14ac:dyDescent="0.2">
      <c r="A5" t="str">
        <f>CONCATENATE("catalog27_",B5)</f>
        <v>catalog27_3</v>
      </c>
      <c r="B5">
        <v>3</v>
      </c>
      <c r="C5" t="s">
        <v>1965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Roman,Normal"&amp;12&amp;A</oddHeader>
    <oddFooter>&amp;C&amp;"Times New Roman,Normal"&amp;12Página &amp;P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E35"/>
  <sheetViews>
    <sheetView zoomScale="120" zoomScaleNormal="120" workbookViewId="0">
      <selection activeCell="A35" sqref="A35"/>
    </sheetView>
  </sheetViews>
  <sheetFormatPr baseColWidth="10" defaultColWidth="11.85546875" defaultRowHeight="12.75" x14ac:dyDescent="0.2"/>
  <cols>
    <col min="3" max="3" width="91.5703125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1640</v>
      </c>
    </row>
    <row r="2" spans="1:5" x14ac:dyDescent="0.2">
      <c r="A2" t="str">
        <f t="shared" ref="A2:A35" si="0">CONCATENATE("catalog51_",B2)</f>
        <v>catalog51_0101</v>
      </c>
      <c r="B2" t="s">
        <v>1966</v>
      </c>
      <c r="C2" t="s">
        <v>1967</v>
      </c>
      <c r="D2" t="s">
        <v>1968</v>
      </c>
      <c r="E2">
        <v>1</v>
      </c>
    </row>
    <row r="3" spans="1:5" x14ac:dyDescent="0.2">
      <c r="A3" t="str">
        <f t="shared" si="0"/>
        <v>catalog51_0102</v>
      </c>
      <c r="B3" t="s">
        <v>1969</v>
      </c>
      <c r="C3" t="s">
        <v>1853</v>
      </c>
      <c r="D3" t="s">
        <v>1968</v>
      </c>
      <c r="E3">
        <v>0</v>
      </c>
    </row>
    <row r="4" spans="1:5" x14ac:dyDescent="0.2">
      <c r="A4" t="str">
        <f t="shared" si="0"/>
        <v>catalog51_0103</v>
      </c>
      <c r="B4" t="s">
        <v>1970</v>
      </c>
      <c r="C4" t="s">
        <v>1971</v>
      </c>
      <c r="D4" t="s">
        <v>1968</v>
      </c>
      <c r="E4">
        <v>0</v>
      </c>
    </row>
    <row r="5" spans="1:5" x14ac:dyDescent="0.2">
      <c r="A5" t="str">
        <f t="shared" si="0"/>
        <v>catalog51_0110</v>
      </c>
      <c r="B5" t="s">
        <v>1972</v>
      </c>
      <c r="C5" t="s">
        <v>1973</v>
      </c>
      <c r="D5" t="s">
        <v>1968</v>
      </c>
      <c r="E5">
        <v>0</v>
      </c>
    </row>
    <row r="6" spans="1:5" x14ac:dyDescent="0.2">
      <c r="A6" t="str">
        <f t="shared" si="0"/>
        <v>catalog51_0111</v>
      </c>
      <c r="B6" t="s">
        <v>1974</v>
      </c>
      <c r="C6" t="s">
        <v>1975</v>
      </c>
      <c r="D6" t="s">
        <v>1968</v>
      </c>
      <c r="E6">
        <v>1</v>
      </c>
    </row>
    <row r="7" spans="1:5" x14ac:dyDescent="0.2">
      <c r="A7" t="str">
        <f t="shared" si="0"/>
        <v>catalog51_0112</v>
      </c>
      <c r="B7" t="s">
        <v>1976</v>
      </c>
      <c r="C7" t="s">
        <v>1977</v>
      </c>
      <c r="D7" t="s">
        <v>1978</v>
      </c>
      <c r="E7">
        <v>0</v>
      </c>
    </row>
    <row r="8" spans="1:5" x14ac:dyDescent="0.2">
      <c r="A8" t="str">
        <f t="shared" si="0"/>
        <v>catalog51_0113</v>
      </c>
      <c r="B8" t="s">
        <v>1979</v>
      </c>
      <c r="C8" t="s">
        <v>1980</v>
      </c>
      <c r="D8" t="s">
        <v>1981</v>
      </c>
      <c r="E8">
        <v>1</v>
      </c>
    </row>
    <row r="9" spans="1:5" x14ac:dyDescent="0.2">
      <c r="A9" t="str">
        <f t="shared" si="0"/>
        <v>catalog51_0120</v>
      </c>
      <c r="B9" t="s">
        <v>1982</v>
      </c>
      <c r="C9" t="s">
        <v>1983</v>
      </c>
      <c r="D9" t="s">
        <v>1968</v>
      </c>
      <c r="E9">
        <v>0</v>
      </c>
    </row>
    <row r="10" spans="1:5" x14ac:dyDescent="0.2">
      <c r="A10" t="str">
        <f t="shared" si="0"/>
        <v>catalog51_0121</v>
      </c>
      <c r="B10" t="s">
        <v>1984</v>
      </c>
      <c r="C10" t="s">
        <v>1985</v>
      </c>
      <c r="D10" t="s">
        <v>1986</v>
      </c>
      <c r="E10">
        <v>0</v>
      </c>
    </row>
    <row r="11" spans="1:5" x14ac:dyDescent="0.2">
      <c r="A11" t="str">
        <f t="shared" si="0"/>
        <v>catalog51_0122</v>
      </c>
      <c r="B11" t="s">
        <v>1987</v>
      </c>
      <c r="C11" t="s">
        <v>1988</v>
      </c>
      <c r="D11" t="s">
        <v>1986</v>
      </c>
      <c r="E11">
        <v>0</v>
      </c>
    </row>
    <row r="12" spans="1:5" x14ac:dyDescent="0.2">
      <c r="A12" t="str">
        <f t="shared" si="0"/>
        <v>catalog51_0130</v>
      </c>
      <c r="B12" t="s">
        <v>1989</v>
      </c>
      <c r="C12" t="s">
        <v>1990</v>
      </c>
      <c r="D12" t="s">
        <v>1968</v>
      </c>
      <c r="E12">
        <v>0</v>
      </c>
    </row>
    <row r="13" spans="1:5" x14ac:dyDescent="0.2">
      <c r="A13" t="str">
        <f t="shared" si="0"/>
        <v>catalog51_0200</v>
      </c>
      <c r="B13" t="s">
        <v>1991</v>
      </c>
      <c r="C13" t="s">
        <v>1992</v>
      </c>
      <c r="D13" t="s">
        <v>1968</v>
      </c>
      <c r="E13">
        <v>1</v>
      </c>
    </row>
    <row r="14" spans="1:5" x14ac:dyDescent="0.2">
      <c r="A14" t="str">
        <f t="shared" si="0"/>
        <v>catalog51_0201</v>
      </c>
      <c r="B14" t="s">
        <v>1993</v>
      </c>
      <c r="C14" t="s">
        <v>1994</v>
      </c>
      <c r="D14" t="s">
        <v>1968</v>
      </c>
      <c r="E14">
        <v>1</v>
      </c>
    </row>
    <row r="15" spans="1:5" x14ac:dyDescent="0.2">
      <c r="A15" t="str">
        <f t="shared" si="0"/>
        <v>catalog51_0202</v>
      </c>
      <c r="B15" t="s">
        <v>1995</v>
      </c>
      <c r="C15" t="s">
        <v>1996</v>
      </c>
      <c r="D15" t="s">
        <v>1997</v>
      </c>
      <c r="E15">
        <v>1</v>
      </c>
    </row>
    <row r="16" spans="1:5" x14ac:dyDescent="0.2">
      <c r="A16" t="str">
        <f t="shared" si="0"/>
        <v>catalog51_0203</v>
      </c>
      <c r="B16" t="s">
        <v>1998</v>
      </c>
      <c r="C16" t="s">
        <v>1999</v>
      </c>
      <c r="D16" t="s">
        <v>1968</v>
      </c>
      <c r="E16">
        <v>1</v>
      </c>
    </row>
    <row r="17" spans="1:5" x14ac:dyDescent="0.2">
      <c r="A17" t="str">
        <f t="shared" si="0"/>
        <v>catalog51_0204</v>
      </c>
      <c r="B17" t="s">
        <v>2000</v>
      </c>
      <c r="C17" t="s">
        <v>2001</v>
      </c>
      <c r="D17" t="s">
        <v>1968</v>
      </c>
      <c r="E17">
        <v>1</v>
      </c>
    </row>
    <row r="18" spans="1:5" x14ac:dyDescent="0.2">
      <c r="A18" t="str">
        <f t="shared" si="0"/>
        <v>catalog51_0205</v>
      </c>
      <c r="B18" t="s">
        <v>2002</v>
      </c>
      <c r="C18" t="s">
        <v>2003</v>
      </c>
      <c r="D18" t="s">
        <v>1997</v>
      </c>
      <c r="E18">
        <v>1</v>
      </c>
    </row>
    <row r="19" spans="1:5" x14ac:dyDescent="0.2">
      <c r="A19" t="str">
        <f t="shared" si="0"/>
        <v>catalog51_0206</v>
      </c>
      <c r="B19" t="s">
        <v>2004</v>
      </c>
      <c r="C19" t="s">
        <v>2005</v>
      </c>
      <c r="D19" t="s">
        <v>1968</v>
      </c>
      <c r="E19">
        <v>1</v>
      </c>
    </row>
    <row r="20" spans="1:5" x14ac:dyDescent="0.2">
      <c r="A20" t="str">
        <f t="shared" si="0"/>
        <v>catalog51_0207</v>
      </c>
      <c r="B20" t="s">
        <v>2006</v>
      </c>
      <c r="C20" t="s">
        <v>2007</v>
      </c>
      <c r="D20" t="s">
        <v>1968</v>
      </c>
      <c r="E20">
        <v>1</v>
      </c>
    </row>
    <row r="21" spans="1:5" x14ac:dyDescent="0.2">
      <c r="A21" t="str">
        <f t="shared" si="0"/>
        <v>catalog51_0208</v>
      </c>
      <c r="B21" t="s">
        <v>2008</v>
      </c>
      <c r="C21" t="s">
        <v>2009</v>
      </c>
      <c r="D21" t="s">
        <v>1968</v>
      </c>
      <c r="E21">
        <v>1</v>
      </c>
    </row>
    <row r="22" spans="1:5" x14ac:dyDescent="0.2">
      <c r="A22" t="str">
        <f t="shared" si="0"/>
        <v>catalog51_0301</v>
      </c>
      <c r="B22" t="s">
        <v>2010</v>
      </c>
      <c r="C22" t="s">
        <v>2011</v>
      </c>
      <c r="D22" t="s">
        <v>1968</v>
      </c>
      <c r="E22">
        <v>1</v>
      </c>
    </row>
    <row r="23" spans="1:5" x14ac:dyDescent="0.2">
      <c r="A23" t="str">
        <f t="shared" si="0"/>
        <v>catalog51_0302</v>
      </c>
      <c r="B23" t="s">
        <v>2012</v>
      </c>
      <c r="C23" t="s">
        <v>2013</v>
      </c>
      <c r="D23" t="s">
        <v>1968</v>
      </c>
      <c r="E23">
        <v>1</v>
      </c>
    </row>
    <row r="24" spans="1:5" x14ac:dyDescent="0.2">
      <c r="A24" t="str">
        <f t="shared" si="0"/>
        <v>catalog51_0303</v>
      </c>
      <c r="B24" t="s">
        <v>2014</v>
      </c>
      <c r="C24" t="s">
        <v>2015</v>
      </c>
      <c r="D24" t="s">
        <v>1968</v>
      </c>
      <c r="E24">
        <v>0</v>
      </c>
    </row>
    <row r="25" spans="1:5" x14ac:dyDescent="0.2">
      <c r="A25" t="str">
        <f t="shared" si="0"/>
        <v>catalog51_0401</v>
      </c>
      <c r="B25" t="s">
        <v>2016</v>
      </c>
      <c r="C25" t="s">
        <v>2017</v>
      </c>
      <c r="D25" t="s">
        <v>1968</v>
      </c>
      <c r="E25">
        <v>1</v>
      </c>
    </row>
    <row r="26" spans="1:5" x14ac:dyDescent="0.2">
      <c r="A26" t="str">
        <f t="shared" si="0"/>
        <v>catalog51_1001</v>
      </c>
      <c r="B26" t="s">
        <v>1736</v>
      </c>
      <c r="C26" t="s">
        <v>2018</v>
      </c>
      <c r="D26" t="s">
        <v>1968</v>
      </c>
      <c r="E26">
        <v>1</v>
      </c>
    </row>
    <row r="27" spans="1:5" x14ac:dyDescent="0.2">
      <c r="A27" t="str">
        <f t="shared" si="0"/>
        <v>catalog51_1002</v>
      </c>
      <c r="B27" t="s">
        <v>1738</v>
      </c>
      <c r="C27" t="s">
        <v>2019</v>
      </c>
      <c r="D27" t="s">
        <v>1968</v>
      </c>
      <c r="E27">
        <v>1</v>
      </c>
    </row>
    <row r="28" spans="1:5" x14ac:dyDescent="0.2">
      <c r="A28" t="str">
        <f t="shared" si="0"/>
        <v>catalog51_1003</v>
      </c>
      <c r="B28" t="s">
        <v>1740</v>
      </c>
      <c r="C28" t="s">
        <v>2020</v>
      </c>
      <c r="D28" t="s">
        <v>1968</v>
      </c>
      <c r="E28">
        <v>1</v>
      </c>
    </row>
    <row r="29" spans="1:5" x14ac:dyDescent="0.2">
      <c r="A29" t="str">
        <f t="shared" si="0"/>
        <v>catalog51_1004</v>
      </c>
      <c r="B29" t="s">
        <v>1742</v>
      </c>
      <c r="C29" t="s">
        <v>2021</v>
      </c>
      <c r="D29" t="s">
        <v>1968</v>
      </c>
      <c r="E29">
        <v>1</v>
      </c>
    </row>
    <row r="30" spans="1:5" x14ac:dyDescent="0.2">
      <c r="A30" t="str">
        <f t="shared" si="0"/>
        <v>catalog51_2001</v>
      </c>
      <c r="B30" t="s">
        <v>1746</v>
      </c>
      <c r="C30" t="s">
        <v>2022</v>
      </c>
      <c r="D30" t="s">
        <v>1968</v>
      </c>
      <c r="E30">
        <v>0</v>
      </c>
    </row>
    <row r="31" spans="1:5" x14ac:dyDescent="0.2">
      <c r="A31" t="str">
        <f t="shared" si="0"/>
        <v>catalog51_2100</v>
      </c>
      <c r="B31" t="s">
        <v>2023</v>
      </c>
      <c r="C31" t="s">
        <v>2024</v>
      </c>
      <c r="D31" t="s">
        <v>1968</v>
      </c>
      <c r="E31">
        <v>1</v>
      </c>
    </row>
    <row r="32" spans="1:5" x14ac:dyDescent="0.2">
      <c r="A32" t="str">
        <f t="shared" si="0"/>
        <v>catalog51_2101</v>
      </c>
      <c r="B32" t="s">
        <v>2025</v>
      </c>
      <c r="C32" t="s">
        <v>2026</v>
      </c>
      <c r="D32" t="s">
        <v>1968</v>
      </c>
      <c r="E32">
        <v>1</v>
      </c>
    </row>
    <row r="33" spans="1:5" x14ac:dyDescent="0.2">
      <c r="A33" t="str">
        <f t="shared" si="0"/>
        <v>catalog51_2102</v>
      </c>
      <c r="B33" t="s">
        <v>2027</v>
      </c>
      <c r="C33" t="s">
        <v>2028</v>
      </c>
      <c r="D33" t="s">
        <v>1968</v>
      </c>
      <c r="E33">
        <v>1</v>
      </c>
    </row>
    <row r="34" spans="1:5" x14ac:dyDescent="0.2">
      <c r="A34" t="str">
        <f t="shared" si="0"/>
        <v>catalog51_2103</v>
      </c>
      <c r="B34" t="s">
        <v>2029</v>
      </c>
      <c r="C34" t="s">
        <v>2030</v>
      </c>
      <c r="D34" t="s">
        <v>1968</v>
      </c>
      <c r="E34">
        <v>1</v>
      </c>
    </row>
    <row r="35" spans="1:5" x14ac:dyDescent="0.2">
      <c r="A35" t="str">
        <f t="shared" si="0"/>
        <v>catalog51_2104</v>
      </c>
      <c r="B35" t="s">
        <v>2031</v>
      </c>
      <c r="C35" t="s">
        <v>2032</v>
      </c>
      <c r="D35" t="s">
        <v>1968</v>
      </c>
      <c r="E35">
        <v>1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Roman,Normal"&amp;12&amp;A</oddHeader>
    <oddFooter>&amp;C&amp;"Times New Roman,Normal"&amp;12Página &amp;P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D15"/>
  <sheetViews>
    <sheetView zoomScale="120" zoomScaleNormal="120" workbookViewId="0">
      <selection activeCell="A2" sqref="A2"/>
    </sheetView>
  </sheetViews>
  <sheetFormatPr baseColWidth="10" defaultColWidth="11.85546875" defaultRowHeight="12.75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tr">
        <f t="shared" ref="A2:A15" si="0">CONCATENATE("catalog52_",B2)</f>
        <v>catalog52_1000</v>
      </c>
      <c r="B2" t="s">
        <v>1607</v>
      </c>
      <c r="C2" t="s">
        <v>1758</v>
      </c>
      <c r="D2" t="s">
        <v>1758</v>
      </c>
    </row>
    <row r="3" spans="1:4" x14ac:dyDescent="0.2">
      <c r="A3" t="str">
        <f t="shared" si="0"/>
        <v>catalog52_1002</v>
      </c>
      <c r="B3" t="s">
        <v>1738</v>
      </c>
      <c r="C3" t="s">
        <v>1759</v>
      </c>
      <c r="D3" t="s">
        <v>1760</v>
      </c>
    </row>
    <row r="4" spans="1:4" x14ac:dyDescent="0.2">
      <c r="A4" t="str">
        <f t="shared" si="0"/>
        <v>catalog52_2000</v>
      </c>
      <c r="B4" t="s">
        <v>1613</v>
      </c>
      <c r="C4" t="s">
        <v>1761</v>
      </c>
      <c r="D4" t="s">
        <v>1762</v>
      </c>
    </row>
    <row r="5" spans="1:4" x14ac:dyDescent="0.2">
      <c r="A5" t="str">
        <f t="shared" si="0"/>
        <v>catalog52_2001</v>
      </c>
      <c r="B5" t="s">
        <v>1746</v>
      </c>
      <c r="C5" t="s">
        <v>2033</v>
      </c>
      <c r="D5" t="s">
        <v>2034</v>
      </c>
    </row>
    <row r="6" spans="1:4" x14ac:dyDescent="0.2">
      <c r="A6" t="str">
        <f t="shared" si="0"/>
        <v>catalog52_2002</v>
      </c>
      <c r="B6" t="s">
        <v>1748</v>
      </c>
      <c r="C6" t="s">
        <v>1765</v>
      </c>
      <c r="D6" t="s">
        <v>1766</v>
      </c>
    </row>
    <row r="7" spans="1:4" x14ac:dyDescent="0.2">
      <c r="A7" t="str">
        <f t="shared" si="0"/>
        <v>catalog52_2003</v>
      </c>
      <c r="B7" t="s">
        <v>1750</v>
      </c>
      <c r="C7" t="s">
        <v>1767</v>
      </c>
      <c r="D7" t="s">
        <v>1768</v>
      </c>
    </row>
    <row r="8" spans="1:4" x14ac:dyDescent="0.2">
      <c r="A8" t="str">
        <f t="shared" si="0"/>
        <v>catalog52_2004</v>
      </c>
      <c r="B8" t="s">
        <v>1752</v>
      </c>
      <c r="C8" t="s">
        <v>2035</v>
      </c>
      <c r="D8" t="s">
        <v>1770</v>
      </c>
    </row>
    <row r="9" spans="1:4" x14ac:dyDescent="0.2">
      <c r="A9" t="str">
        <f t="shared" si="0"/>
        <v>catalog52_2005</v>
      </c>
      <c r="B9" t="s">
        <v>1754</v>
      </c>
      <c r="C9" t="s">
        <v>1771</v>
      </c>
      <c r="D9" t="s">
        <v>1772</v>
      </c>
    </row>
    <row r="10" spans="1:4" x14ac:dyDescent="0.2">
      <c r="A10" t="str">
        <f t="shared" si="0"/>
        <v>catalog52_2006</v>
      </c>
      <c r="B10" t="s">
        <v>1773</v>
      </c>
      <c r="C10" s="6" t="s">
        <v>1774</v>
      </c>
      <c r="D10" t="s">
        <v>2036</v>
      </c>
    </row>
    <row r="11" spans="1:4" x14ac:dyDescent="0.2">
      <c r="A11" t="str">
        <f t="shared" si="0"/>
        <v>catalog52_2007</v>
      </c>
      <c r="B11" t="s">
        <v>1776</v>
      </c>
      <c r="C11" s="6" t="s">
        <v>2037</v>
      </c>
      <c r="D11" t="s">
        <v>2038</v>
      </c>
    </row>
    <row r="12" spans="1:4" x14ac:dyDescent="0.2">
      <c r="A12" t="str">
        <f t="shared" si="0"/>
        <v>catalog52_2008</v>
      </c>
      <c r="B12" t="s">
        <v>2039</v>
      </c>
      <c r="C12" t="s">
        <v>2040</v>
      </c>
      <c r="D12" t="s">
        <v>2041</v>
      </c>
    </row>
    <row r="13" spans="1:4" x14ac:dyDescent="0.2">
      <c r="A13" t="str">
        <f t="shared" si="0"/>
        <v>catalog52_2009</v>
      </c>
      <c r="B13" t="s">
        <v>2042</v>
      </c>
      <c r="C13" t="s">
        <v>2043</v>
      </c>
      <c r="D13" t="s">
        <v>2044</v>
      </c>
    </row>
    <row r="14" spans="1:4" x14ac:dyDescent="0.2">
      <c r="A14" t="str">
        <f t="shared" si="0"/>
        <v>catalog52_2010</v>
      </c>
      <c r="B14" t="s">
        <v>1779</v>
      </c>
      <c r="C14" t="s">
        <v>2045</v>
      </c>
      <c r="D14" t="s">
        <v>2045</v>
      </c>
    </row>
    <row r="15" spans="1:4" x14ac:dyDescent="0.2">
      <c r="A15" t="str">
        <f t="shared" si="0"/>
        <v>catalog52_2011</v>
      </c>
      <c r="B15" t="s">
        <v>2046</v>
      </c>
      <c r="C15" t="s">
        <v>2047</v>
      </c>
      <c r="D15" t="s">
        <v>2048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Roman,Normal"&amp;12&amp;A</oddHeader>
    <oddFooter>&amp;C&amp;"Times New Roman,Normal"&amp;12Página &amp;P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D20"/>
  <sheetViews>
    <sheetView zoomScale="120" zoomScaleNormal="120" workbookViewId="0">
      <selection activeCell="C22" sqref="C22"/>
    </sheetView>
  </sheetViews>
  <sheetFormatPr baseColWidth="10" defaultColWidth="11.85546875" defaultRowHeight="12.75" x14ac:dyDescent="0.2"/>
  <cols>
    <col min="3" max="3" width="29.28515625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tr">
        <f t="shared" ref="A2:A20" si="0">CONCATENATE("catalog53_",B2)</f>
        <v>catalog53_00</v>
      </c>
      <c r="B2" t="s">
        <v>2049</v>
      </c>
      <c r="C2" t="s">
        <v>2050</v>
      </c>
      <c r="D2" t="s">
        <v>2051</v>
      </c>
    </row>
    <row r="3" spans="1:4" x14ac:dyDescent="0.2">
      <c r="A3" t="str">
        <f t="shared" si="0"/>
        <v>catalog53_01</v>
      </c>
      <c r="B3" t="s">
        <v>4</v>
      </c>
      <c r="C3" t="s">
        <v>2052</v>
      </c>
      <c r="D3" t="s">
        <v>2051</v>
      </c>
    </row>
    <row r="4" spans="1:4" x14ac:dyDescent="0.2">
      <c r="A4" t="str">
        <f t="shared" si="0"/>
        <v>catalog53_02</v>
      </c>
      <c r="B4" t="s">
        <v>1700</v>
      </c>
      <c r="C4" t="s">
        <v>2053</v>
      </c>
      <c r="D4" t="s">
        <v>2054</v>
      </c>
    </row>
    <row r="5" spans="1:4" x14ac:dyDescent="0.2">
      <c r="A5" t="str">
        <f t="shared" si="0"/>
        <v>catalog53_03</v>
      </c>
      <c r="B5" t="s">
        <v>6</v>
      </c>
      <c r="C5" t="s">
        <v>2055</v>
      </c>
      <c r="D5" t="s">
        <v>2054</v>
      </c>
    </row>
    <row r="6" spans="1:4" x14ac:dyDescent="0.2">
      <c r="A6" t="str">
        <f t="shared" si="0"/>
        <v>catalog53_04</v>
      </c>
      <c r="B6" t="s">
        <v>1706</v>
      </c>
      <c r="C6" t="s">
        <v>2056</v>
      </c>
      <c r="D6" t="s">
        <v>2054</v>
      </c>
    </row>
    <row r="7" spans="1:4" x14ac:dyDescent="0.2">
      <c r="A7" t="str">
        <f t="shared" si="0"/>
        <v>catalog53_05</v>
      </c>
      <c r="B7" t="s">
        <v>1708</v>
      </c>
      <c r="C7" t="s">
        <v>2057</v>
      </c>
      <c r="D7" t="s">
        <v>2054</v>
      </c>
    </row>
    <row r="8" spans="1:4" x14ac:dyDescent="0.2">
      <c r="A8" t="str">
        <f t="shared" si="0"/>
        <v>catalog53_06</v>
      </c>
      <c r="B8" t="s">
        <v>8</v>
      </c>
      <c r="C8" t="s">
        <v>2058</v>
      </c>
      <c r="D8" t="s">
        <v>2054</v>
      </c>
    </row>
    <row r="9" spans="1:4" x14ac:dyDescent="0.2">
      <c r="A9" t="str">
        <f t="shared" si="0"/>
        <v>catalog53_07</v>
      </c>
      <c r="B9" t="s">
        <v>10</v>
      </c>
      <c r="C9" t="s">
        <v>2059</v>
      </c>
      <c r="D9" t="s">
        <v>2051</v>
      </c>
    </row>
    <row r="10" spans="1:4" x14ac:dyDescent="0.2">
      <c r="A10" t="str">
        <f t="shared" si="0"/>
        <v>catalog53_45</v>
      </c>
      <c r="B10" t="s">
        <v>2060</v>
      </c>
      <c r="C10" t="s">
        <v>2061</v>
      </c>
      <c r="D10" t="s">
        <v>2054</v>
      </c>
    </row>
    <row r="11" spans="1:4" x14ac:dyDescent="0.2">
      <c r="A11" t="str">
        <f t="shared" si="0"/>
        <v>catalog53_46</v>
      </c>
      <c r="B11" t="s">
        <v>2062</v>
      </c>
      <c r="C11" t="s">
        <v>2063</v>
      </c>
      <c r="D11" t="s">
        <v>2054</v>
      </c>
    </row>
    <row r="12" spans="1:4" x14ac:dyDescent="0.2">
      <c r="A12" t="str">
        <f t="shared" si="0"/>
        <v>catalog53_47</v>
      </c>
      <c r="B12" t="s">
        <v>2064</v>
      </c>
      <c r="C12" t="s">
        <v>2065</v>
      </c>
      <c r="D12" t="s">
        <v>2051</v>
      </c>
    </row>
    <row r="13" spans="1:4" x14ac:dyDescent="0.2">
      <c r="A13" t="str">
        <f t="shared" si="0"/>
        <v>catalog53_48</v>
      </c>
      <c r="B13" t="s">
        <v>2066</v>
      </c>
      <c r="C13" t="s">
        <v>2067</v>
      </c>
      <c r="D13" t="s">
        <v>2051</v>
      </c>
    </row>
    <row r="14" spans="1:4" x14ac:dyDescent="0.2">
      <c r="A14" t="str">
        <f t="shared" si="0"/>
        <v>catalog53_49</v>
      </c>
      <c r="B14" t="s">
        <v>2068</v>
      </c>
      <c r="C14" t="s">
        <v>2069</v>
      </c>
      <c r="D14" t="s">
        <v>2054</v>
      </c>
    </row>
    <row r="15" spans="1:4" x14ac:dyDescent="0.2">
      <c r="A15" t="str">
        <f t="shared" si="0"/>
        <v>catalog53_50</v>
      </c>
      <c r="B15" t="s">
        <v>2070</v>
      </c>
      <c r="C15" t="s">
        <v>2071</v>
      </c>
      <c r="D15" t="s">
        <v>2054</v>
      </c>
    </row>
    <row r="16" spans="1:4" x14ac:dyDescent="0.2">
      <c r="A16" t="str">
        <f t="shared" si="0"/>
        <v>catalog53_51</v>
      </c>
      <c r="B16" t="s">
        <v>2072</v>
      </c>
      <c r="C16" t="s">
        <v>2073</v>
      </c>
      <c r="D16" t="s">
        <v>2054</v>
      </c>
    </row>
    <row r="17" spans="1:4" x14ac:dyDescent="0.2">
      <c r="A17" t="str">
        <f t="shared" si="0"/>
        <v>catalog53_52</v>
      </c>
      <c r="B17" t="s">
        <v>2074</v>
      </c>
      <c r="C17" t="s">
        <v>1897</v>
      </c>
      <c r="D17" t="s">
        <v>2054</v>
      </c>
    </row>
    <row r="18" spans="1:4" x14ac:dyDescent="0.2">
      <c r="A18" t="str">
        <f t="shared" si="0"/>
        <v>catalog53_53</v>
      </c>
      <c r="B18" t="s">
        <v>2075</v>
      </c>
      <c r="C18" t="s">
        <v>1898</v>
      </c>
      <c r="D18" t="s">
        <v>2054</v>
      </c>
    </row>
    <row r="19" spans="1:4" x14ac:dyDescent="0.2">
      <c r="A19" t="str">
        <f t="shared" si="0"/>
        <v>catalog53_54</v>
      </c>
      <c r="B19" t="s">
        <v>2076</v>
      </c>
      <c r="C19" t="s">
        <v>2077</v>
      </c>
      <c r="D19" t="s">
        <v>2051</v>
      </c>
    </row>
    <row r="20" spans="1:4" x14ac:dyDescent="0.2">
      <c r="A20" t="str">
        <f t="shared" si="0"/>
        <v>catalog53_61</v>
      </c>
      <c r="B20" t="s">
        <v>2078</v>
      </c>
      <c r="C20" t="s">
        <v>2079</v>
      </c>
      <c r="D20" t="s">
        <v>2054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Roman,Normal"&amp;12&amp;A</oddHeader>
    <oddFooter>&amp;C&amp;"Times New Roman,Normal"&amp;12Página &amp;P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F40"/>
  <sheetViews>
    <sheetView zoomScale="120" zoomScaleNormal="120" workbookViewId="0">
      <selection activeCell="C3" sqref="C3"/>
    </sheetView>
  </sheetViews>
  <sheetFormatPr baseColWidth="10" defaultColWidth="11.85546875" defaultRowHeight="12.75" x14ac:dyDescent="0.2"/>
  <cols>
    <col min="3" max="3" width="47.7109375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1698</v>
      </c>
      <c r="F1" t="s">
        <v>1640</v>
      </c>
    </row>
    <row r="2" spans="1:6" x14ac:dyDescent="0.2">
      <c r="A2" t="str">
        <f t="shared" ref="A2:A40" si="0">CONCATENATE("catalog54_",B2)</f>
        <v>catalog54_001</v>
      </c>
      <c r="B2" t="s">
        <v>2080</v>
      </c>
      <c r="C2" t="s">
        <v>2081</v>
      </c>
      <c r="E2">
        <v>10</v>
      </c>
      <c r="F2">
        <v>1</v>
      </c>
    </row>
    <row r="3" spans="1:6" x14ac:dyDescent="0.2">
      <c r="A3" t="str">
        <f t="shared" si="0"/>
        <v>catalog54_002</v>
      </c>
      <c r="B3" t="s">
        <v>2082</v>
      </c>
      <c r="C3" t="s">
        <v>2083</v>
      </c>
      <c r="E3">
        <v>10</v>
      </c>
      <c r="F3">
        <v>0</v>
      </c>
    </row>
    <row r="4" spans="1:6" x14ac:dyDescent="0.2">
      <c r="A4" t="str">
        <f t="shared" si="0"/>
        <v>catalog54_003</v>
      </c>
      <c r="B4" t="s">
        <v>2084</v>
      </c>
      <c r="C4" t="s">
        <v>2085</v>
      </c>
      <c r="E4">
        <v>10</v>
      </c>
      <c r="F4">
        <v>1</v>
      </c>
    </row>
    <row r="5" spans="1:6" x14ac:dyDescent="0.2">
      <c r="A5" t="str">
        <f t="shared" si="0"/>
        <v>catalog54_004</v>
      </c>
      <c r="B5" t="s">
        <v>974</v>
      </c>
      <c r="C5" t="s">
        <v>2086</v>
      </c>
      <c r="E5">
        <v>4</v>
      </c>
      <c r="F5">
        <v>1</v>
      </c>
    </row>
    <row r="6" spans="1:6" x14ac:dyDescent="0.2">
      <c r="A6" t="str">
        <f t="shared" si="0"/>
        <v>catalog54_005</v>
      </c>
      <c r="B6" t="s">
        <v>2087</v>
      </c>
      <c r="C6" t="s">
        <v>2088</v>
      </c>
      <c r="E6">
        <v>4</v>
      </c>
      <c r="F6">
        <v>1</v>
      </c>
    </row>
    <row r="7" spans="1:6" x14ac:dyDescent="0.2">
      <c r="A7" t="str">
        <f t="shared" si="0"/>
        <v>catalog54_006</v>
      </c>
      <c r="B7" t="s">
        <v>2089</v>
      </c>
      <c r="C7" t="s">
        <v>2090</v>
      </c>
      <c r="E7">
        <v>10</v>
      </c>
      <c r="F7">
        <v>1</v>
      </c>
    </row>
    <row r="8" spans="1:6" x14ac:dyDescent="0.2">
      <c r="A8" t="str">
        <f t="shared" si="0"/>
        <v>catalog54_007</v>
      </c>
      <c r="B8" t="s">
        <v>2091</v>
      </c>
      <c r="C8" t="s">
        <v>2092</v>
      </c>
      <c r="E8">
        <v>10</v>
      </c>
      <c r="F8">
        <v>1</v>
      </c>
    </row>
    <row r="9" spans="1:6" x14ac:dyDescent="0.2">
      <c r="A9" t="str">
        <f t="shared" si="0"/>
        <v>catalog54_008</v>
      </c>
      <c r="B9" t="s">
        <v>59</v>
      </c>
      <c r="C9" t="s">
        <v>2093</v>
      </c>
      <c r="E9">
        <v>10</v>
      </c>
      <c r="F9">
        <v>1</v>
      </c>
    </row>
    <row r="10" spans="1:6" x14ac:dyDescent="0.2">
      <c r="A10" t="str">
        <f t="shared" si="0"/>
        <v>catalog54_009</v>
      </c>
      <c r="B10" t="s">
        <v>2094</v>
      </c>
      <c r="C10" t="s">
        <v>2095</v>
      </c>
      <c r="E10">
        <v>15</v>
      </c>
      <c r="F10">
        <v>1</v>
      </c>
    </row>
    <row r="11" spans="1:6" x14ac:dyDescent="0.2">
      <c r="A11" t="str">
        <f t="shared" si="0"/>
        <v>catalog54_010</v>
      </c>
      <c r="B11" t="s">
        <v>994</v>
      </c>
      <c r="C11" t="s">
        <v>2096</v>
      </c>
      <c r="E11">
        <v>10</v>
      </c>
      <c r="F11">
        <v>1</v>
      </c>
    </row>
    <row r="12" spans="1:6" x14ac:dyDescent="0.2">
      <c r="A12" t="str">
        <f t="shared" si="0"/>
        <v>catalog54_011</v>
      </c>
      <c r="B12" t="s">
        <v>2097</v>
      </c>
      <c r="C12" t="s">
        <v>2098</v>
      </c>
      <c r="E12">
        <v>4</v>
      </c>
      <c r="F12">
        <v>1</v>
      </c>
    </row>
    <row r="13" spans="1:6" x14ac:dyDescent="0.2">
      <c r="A13" t="str">
        <f t="shared" si="0"/>
        <v>catalog54_012</v>
      </c>
      <c r="B13" t="s">
        <v>63</v>
      </c>
      <c r="C13" t="s">
        <v>2099</v>
      </c>
      <c r="E13">
        <v>12</v>
      </c>
      <c r="F13">
        <v>1</v>
      </c>
    </row>
    <row r="14" spans="1:6" x14ac:dyDescent="0.2">
      <c r="A14" t="str">
        <f t="shared" si="0"/>
        <v>catalog54_013</v>
      </c>
      <c r="B14" t="s">
        <v>2100</v>
      </c>
      <c r="C14" t="s">
        <v>2101</v>
      </c>
      <c r="E14">
        <v>10</v>
      </c>
      <c r="F14">
        <v>1</v>
      </c>
    </row>
    <row r="15" spans="1:6" x14ac:dyDescent="0.2">
      <c r="A15" t="str">
        <f t="shared" si="0"/>
        <v>catalog54_014</v>
      </c>
      <c r="B15" t="s">
        <v>2102</v>
      </c>
      <c r="C15" t="s">
        <v>2103</v>
      </c>
      <c r="E15">
        <v>10</v>
      </c>
      <c r="F15">
        <v>1</v>
      </c>
    </row>
    <row r="16" spans="1:6" x14ac:dyDescent="0.2">
      <c r="A16" t="str">
        <f t="shared" si="0"/>
        <v>catalog54_015</v>
      </c>
      <c r="B16" t="s">
        <v>2104</v>
      </c>
      <c r="C16" t="s">
        <v>2105</v>
      </c>
      <c r="E16">
        <v>10</v>
      </c>
      <c r="F16">
        <v>1</v>
      </c>
    </row>
    <row r="17" spans="1:6" x14ac:dyDescent="0.2">
      <c r="A17" t="str">
        <f t="shared" si="0"/>
        <v>catalog54_016</v>
      </c>
      <c r="B17" t="s">
        <v>981</v>
      </c>
      <c r="C17" t="s">
        <v>2106</v>
      </c>
      <c r="E17">
        <v>10</v>
      </c>
      <c r="F17">
        <v>1</v>
      </c>
    </row>
    <row r="18" spans="1:6" x14ac:dyDescent="0.2">
      <c r="A18" t="str">
        <f t="shared" si="0"/>
        <v>catalog54_017</v>
      </c>
      <c r="B18" t="s">
        <v>2107</v>
      </c>
      <c r="C18" t="s">
        <v>2108</v>
      </c>
      <c r="E18">
        <v>10</v>
      </c>
      <c r="F18">
        <v>1</v>
      </c>
    </row>
    <row r="19" spans="1:6" x14ac:dyDescent="0.2">
      <c r="A19" t="str">
        <f t="shared" si="0"/>
        <v>catalog54_018</v>
      </c>
      <c r="B19" t="s">
        <v>2109</v>
      </c>
      <c r="C19" t="s">
        <v>2110</v>
      </c>
      <c r="E19">
        <v>10</v>
      </c>
      <c r="F19">
        <v>1</v>
      </c>
    </row>
    <row r="20" spans="1:6" x14ac:dyDescent="0.2">
      <c r="A20" t="str">
        <f t="shared" si="0"/>
        <v>catalog54_019</v>
      </c>
      <c r="B20" t="s">
        <v>2111</v>
      </c>
      <c r="C20" t="s">
        <v>2112</v>
      </c>
      <c r="E20">
        <v>10</v>
      </c>
      <c r="F20">
        <v>1</v>
      </c>
    </row>
    <row r="21" spans="1:6" x14ac:dyDescent="0.2">
      <c r="A21" t="str">
        <f t="shared" si="0"/>
        <v>catalog54_020</v>
      </c>
      <c r="B21" t="s">
        <v>984</v>
      </c>
      <c r="C21" t="s">
        <v>2113</v>
      </c>
      <c r="E21">
        <v>12</v>
      </c>
      <c r="F21">
        <v>1</v>
      </c>
    </row>
    <row r="22" spans="1:6" x14ac:dyDescent="0.2">
      <c r="A22" t="str">
        <f t="shared" si="0"/>
        <v>catalog54_021</v>
      </c>
      <c r="B22" t="s">
        <v>2114</v>
      </c>
      <c r="C22" t="s">
        <v>2115</v>
      </c>
      <c r="E22">
        <v>10</v>
      </c>
      <c r="F22">
        <v>1</v>
      </c>
    </row>
    <row r="23" spans="1:6" x14ac:dyDescent="0.2">
      <c r="A23" t="str">
        <f t="shared" si="0"/>
        <v>catalog54_022</v>
      </c>
      <c r="B23" t="s">
        <v>2116</v>
      </c>
      <c r="C23" t="s">
        <v>2117</v>
      </c>
      <c r="E23">
        <v>12</v>
      </c>
      <c r="F23">
        <v>1</v>
      </c>
    </row>
    <row r="24" spans="1:6" x14ac:dyDescent="0.2">
      <c r="A24" t="str">
        <f t="shared" si="0"/>
        <v>catalog54_023</v>
      </c>
      <c r="B24" t="s">
        <v>2118</v>
      </c>
      <c r="C24" t="s">
        <v>2119</v>
      </c>
      <c r="E24">
        <v>1.5</v>
      </c>
      <c r="F24">
        <v>1</v>
      </c>
    </row>
    <row r="25" spans="1:6" x14ac:dyDescent="0.2">
      <c r="A25" t="str">
        <f t="shared" si="0"/>
        <v>catalog54_024</v>
      </c>
      <c r="B25" t="s">
        <v>987</v>
      </c>
      <c r="C25" t="s">
        <v>2120</v>
      </c>
      <c r="E25">
        <v>1.5</v>
      </c>
      <c r="F25">
        <v>1</v>
      </c>
    </row>
    <row r="26" spans="1:6" x14ac:dyDescent="0.2">
      <c r="A26" t="str">
        <f t="shared" si="0"/>
        <v>catalog54_025</v>
      </c>
      <c r="B26" t="s">
        <v>2121</v>
      </c>
      <c r="C26" t="s">
        <v>2122</v>
      </c>
      <c r="E26">
        <v>10</v>
      </c>
      <c r="F26">
        <v>1</v>
      </c>
    </row>
    <row r="27" spans="1:6" x14ac:dyDescent="0.2">
      <c r="A27" t="str">
        <f t="shared" si="0"/>
        <v>catalog54_026</v>
      </c>
      <c r="B27" t="s">
        <v>2123</v>
      </c>
      <c r="C27" t="s">
        <v>2124</v>
      </c>
      <c r="E27">
        <v>10</v>
      </c>
      <c r="F27">
        <v>1</v>
      </c>
    </row>
    <row r="28" spans="1:6" x14ac:dyDescent="0.2">
      <c r="A28" t="str">
        <f t="shared" si="0"/>
        <v>catalog54_027</v>
      </c>
      <c r="B28" t="s">
        <v>2125</v>
      </c>
      <c r="C28" t="s">
        <v>2126</v>
      </c>
      <c r="E28">
        <v>4</v>
      </c>
      <c r="F28">
        <v>0</v>
      </c>
    </row>
    <row r="29" spans="1:6" x14ac:dyDescent="0.2">
      <c r="A29" t="str">
        <f t="shared" si="0"/>
        <v>catalog54_028</v>
      </c>
      <c r="B29" t="s">
        <v>997</v>
      </c>
      <c r="C29" t="s">
        <v>2127</v>
      </c>
      <c r="E29">
        <v>0</v>
      </c>
      <c r="F29">
        <v>0</v>
      </c>
    </row>
    <row r="30" spans="1:6" x14ac:dyDescent="0.2">
      <c r="A30" t="str">
        <f t="shared" si="0"/>
        <v>catalog54_029</v>
      </c>
      <c r="B30" t="s">
        <v>2128</v>
      </c>
      <c r="C30" t="s">
        <v>2129</v>
      </c>
      <c r="E30">
        <v>4</v>
      </c>
      <c r="F30">
        <v>1</v>
      </c>
    </row>
    <row r="31" spans="1:6" x14ac:dyDescent="0.2">
      <c r="A31" t="str">
        <f t="shared" si="0"/>
        <v>catalog54_030</v>
      </c>
      <c r="B31" t="s">
        <v>2130</v>
      </c>
      <c r="C31" t="s">
        <v>2131</v>
      </c>
      <c r="E31">
        <v>10</v>
      </c>
      <c r="F31">
        <v>1</v>
      </c>
    </row>
    <row r="32" spans="1:6" x14ac:dyDescent="0.2">
      <c r="A32" t="str">
        <f t="shared" si="0"/>
        <v>catalog54_031</v>
      </c>
      <c r="B32" t="s">
        <v>1011</v>
      </c>
      <c r="C32" t="s">
        <v>2132</v>
      </c>
      <c r="E32">
        <v>10</v>
      </c>
      <c r="F32">
        <v>1</v>
      </c>
    </row>
    <row r="33" spans="1:6" x14ac:dyDescent="0.2">
      <c r="A33" t="str">
        <f t="shared" si="0"/>
        <v>catalog54_032</v>
      </c>
      <c r="B33" t="s">
        <v>81</v>
      </c>
      <c r="C33" t="s">
        <v>2133</v>
      </c>
      <c r="E33">
        <v>4</v>
      </c>
      <c r="F33">
        <v>1</v>
      </c>
    </row>
    <row r="34" spans="1:6" x14ac:dyDescent="0.2">
      <c r="A34" t="str">
        <f t="shared" si="0"/>
        <v>catalog54_033</v>
      </c>
      <c r="B34" t="s">
        <v>2134</v>
      </c>
      <c r="C34" t="s">
        <v>2135</v>
      </c>
      <c r="E34">
        <v>4</v>
      </c>
      <c r="F34">
        <v>1</v>
      </c>
    </row>
    <row r="35" spans="1:6" x14ac:dyDescent="0.2">
      <c r="A35" t="str">
        <f t="shared" si="0"/>
        <v>catalog54_034</v>
      </c>
      <c r="B35" t="s">
        <v>2136</v>
      </c>
      <c r="C35" t="s">
        <v>2137</v>
      </c>
      <c r="E35">
        <v>10</v>
      </c>
      <c r="F35">
        <v>1</v>
      </c>
    </row>
    <row r="36" spans="1:6" x14ac:dyDescent="0.2">
      <c r="A36" t="str">
        <f t="shared" si="0"/>
        <v>catalog54_035</v>
      </c>
      <c r="B36" t="s">
        <v>2138</v>
      </c>
      <c r="C36" t="s">
        <v>2139</v>
      </c>
      <c r="E36">
        <v>4</v>
      </c>
      <c r="F36">
        <v>1</v>
      </c>
    </row>
    <row r="37" spans="1:6" x14ac:dyDescent="0.2">
      <c r="A37" t="str">
        <f t="shared" si="0"/>
        <v>catalog54_036</v>
      </c>
      <c r="B37" t="s">
        <v>93</v>
      </c>
      <c r="C37" t="s">
        <v>2140</v>
      </c>
      <c r="E37">
        <v>10</v>
      </c>
      <c r="F37">
        <v>1</v>
      </c>
    </row>
    <row r="38" spans="1:6" x14ac:dyDescent="0.2">
      <c r="A38" t="str">
        <f t="shared" si="0"/>
        <v>catalog54_037</v>
      </c>
      <c r="B38" t="s">
        <v>2141</v>
      </c>
      <c r="C38" t="s">
        <v>2142</v>
      </c>
      <c r="E38">
        <v>12</v>
      </c>
      <c r="F38">
        <v>1</v>
      </c>
    </row>
    <row r="39" spans="1:6" x14ac:dyDescent="0.2">
      <c r="A39" t="str">
        <f t="shared" si="0"/>
        <v>catalog54_039</v>
      </c>
      <c r="B39" t="s">
        <v>2143</v>
      </c>
      <c r="C39" t="s">
        <v>2144</v>
      </c>
      <c r="E39">
        <v>10</v>
      </c>
      <c r="F39">
        <v>1</v>
      </c>
    </row>
    <row r="40" spans="1:6" x14ac:dyDescent="0.2">
      <c r="A40" t="str">
        <f t="shared" si="0"/>
        <v>catalog54_040</v>
      </c>
      <c r="B40" t="s">
        <v>1008</v>
      </c>
      <c r="C40" t="s">
        <v>2145</v>
      </c>
      <c r="E40">
        <v>4</v>
      </c>
      <c r="F40">
        <v>1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Roman,Normal"&amp;12&amp;A</oddHeader>
    <oddFooter>&amp;C&amp;"Times New Roman,Normal"&amp;12Página &amp;P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E109"/>
  <sheetViews>
    <sheetView topLeftCell="A77" zoomScale="120" zoomScaleNormal="120" workbookViewId="0">
      <selection activeCell="E1" sqref="E1"/>
    </sheetView>
  </sheetViews>
  <sheetFormatPr baseColWidth="10" defaultColWidth="11.85546875" defaultRowHeight="12.75" x14ac:dyDescent="0.2"/>
  <cols>
    <col min="1024" max="1024" width="11.5703125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1640</v>
      </c>
    </row>
    <row r="2" spans="1:5" x14ac:dyDescent="0.2">
      <c r="A2" t="str">
        <f t="shared" ref="A2:A33" si="0">CONCATENATE("catalog55_",B2)</f>
        <v>catalog55_3001</v>
      </c>
      <c r="B2" s="5" t="s">
        <v>1756</v>
      </c>
      <c r="C2" t="s">
        <v>2146</v>
      </c>
      <c r="E2">
        <v>1</v>
      </c>
    </row>
    <row r="3" spans="1:5" x14ac:dyDescent="0.2">
      <c r="A3" t="str">
        <f t="shared" si="0"/>
        <v>catalog55_3002</v>
      </c>
      <c r="B3" s="5" t="s">
        <v>1783</v>
      </c>
      <c r="C3" t="s">
        <v>2147</v>
      </c>
      <c r="E3">
        <v>1</v>
      </c>
    </row>
    <row r="4" spans="1:5" x14ac:dyDescent="0.2">
      <c r="A4" t="str">
        <f t="shared" si="0"/>
        <v>catalog55_3003</v>
      </c>
      <c r="B4" s="5" t="s">
        <v>1785</v>
      </c>
      <c r="C4" t="s">
        <v>2148</v>
      </c>
      <c r="E4">
        <v>1</v>
      </c>
    </row>
    <row r="5" spans="1:5" x14ac:dyDescent="0.2">
      <c r="A5" t="str">
        <f t="shared" si="0"/>
        <v>catalog55_3004</v>
      </c>
      <c r="B5" s="5" t="s">
        <v>1787</v>
      </c>
      <c r="C5" t="s">
        <v>2149</v>
      </c>
      <c r="E5">
        <v>1</v>
      </c>
    </row>
    <row r="6" spans="1:5" x14ac:dyDescent="0.2">
      <c r="A6" t="str">
        <f t="shared" si="0"/>
        <v>catalog55_3005</v>
      </c>
      <c r="B6" s="5" t="s">
        <v>1789</v>
      </c>
      <c r="C6" t="s">
        <v>2150</v>
      </c>
      <c r="E6">
        <v>1</v>
      </c>
    </row>
    <row r="7" spans="1:5" x14ac:dyDescent="0.2">
      <c r="A7" t="str">
        <f t="shared" si="0"/>
        <v>catalog55_3006</v>
      </c>
      <c r="B7" s="5" t="s">
        <v>1791</v>
      </c>
      <c r="C7" t="s">
        <v>2151</v>
      </c>
      <c r="E7">
        <v>1</v>
      </c>
    </row>
    <row r="8" spans="1:5" x14ac:dyDescent="0.2">
      <c r="A8" t="str">
        <f t="shared" si="0"/>
        <v>catalog55_3050</v>
      </c>
      <c r="B8" s="5" t="s">
        <v>2152</v>
      </c>
      <c r="C8" t="s">
        <v>2153</v>
      </c>
      <c r="E8">
        <v>1</v>
      </c>
    </row>
    <row r="9" spans="1:5" x14ac:dyDescent="0.2">
      <c r="A9" t="str">
        <f t="shared" si="0"/>
        <v>catalog55_3051</v>
      </c>
      <c r="B9" s="5" t="s">
        <v>2154</v>
      </c>
      <c r="C9" t="s">
        <v>2155</v>
      </c>
      <c r="E9">
        <v>1</v>
      </c>
    </row>
    <row r="10" spans="1:5" x14ac:dyDescent="0.2">
      <c r="A10" t="str">
        <f t="shared" si="0"/>
        <v>catalog55_3052</v>
      </c>
      <c r="B10" s="5" t="s">
        <v>2156</v>
      </c>
      <c r="C10" t="s">
        <v>2157</v>
      </c>
      <c r="E10">
        <v>1</v>
      </c>
    </row>
    <row r="11" spans="1:5" x14ac:dyDescent="0.2">
      <c r="A11" t="str">
        <f t="shared" si="0"/>
        <v>catalog55_3053</v>
      </c>
      <c r="B11" s="5" t="s">
        <v>2158</v>
      </c>
      <c r="C11" t="s">
        <v>2159</v>
      </c>
      <c r="E11">
        <v>1</v>
      </c>
    </row>
    <row r="12" spans="1:5" x14ac:dyDescent="0.2">
      <c r="A12" t="str">
        <f t="shared" si="0"/>
        <v>catalog55_3054</v>
      </c>
      <c r="B12" s="5" t="s">
        <v>2160</v>
      </c>
      <c r="C12" t="s">
        <v>2161</v>
      </c>
      <c r="E12">
        <v>1</v>
      </c>
    </row>
    <row r="13" spans="1:5" x14ac:dyDescent="0.2">
      <c r="A13" t="str">
        <f t="shared" si="0"/>
        <v>catalog55_3055</v>
      </c>
      <c r="B13" s="5" t="s">
        <v>2162</v>
      </c>
      <c r="C13" t="s">
        <v>2163</v>
      </c>
      <c r="E13">
        <v>1</v>
      </c>
    </row>
    <row r="14" spans="1:5" x14ac:dyDescent="0.2">
      <c r="A14" t="str">
        <f t="shared" si="0"/>
        <v>catalog55_3056</v>
      </c>
      <c r="B14" s="5" t="s">
        <v>2164</v>
      </c>
      <c r="C14" t="s">
        <v>2165</v>
      </c>
      <c r="E14">
        <v>1</v>
      </c>
    </row>
    <row r="15" spans="1:5" x14ac:dyDescent="0.2">
      <c r="A15" t="str">
        <f t="shared" si="0"/>
        <v>catalog55_3057</v>
      </c>
      <c r="B15" s="5" t="s">
        <v>2166</v>
      </c>
      <c r="C15" t="s">
        <v>2167</v>
      </c>
      <c r="E15">
        <v>1</v>
      </c>
    </row>
    <row r="16" spans="1:5" x14ac:dyDescent="0.2">
      <c r="A16" t="str">
        <f t="shared" si="0"/>
        <v>catalog55_3058</v>
      </c>
      <c r="B16" s="5" t="s">
        <v>2168</v>
      </c>
      <c r="C16" t="s">
        <v>2169</v>
      </c>
      <c r="E16">
        <v>1</v>
      </c>
    </row>
    <row r="17" spans="1:5" x14ac:dyDescent="0.2">
      <c r="A17" t="str">
        <f t="shared" si="0"/>
        <v>catalog55_3059</v>
      </c>
      <c r="B17" s="5" t="s">
        <v>2170</v>
      </c>
      <c r="C17" t="s">
        <v>2171</v>
      </c>
      <c r="E17">
        <v>1</v>
      </c>
    </row>
    <row r="18" spans="1:5" x14ac:dyDescent="0.2">
      <c r="A18" t="str">
        <f t="shared" si="0"/>
        <v>catalog55_3060</v>
      </c>
      <c r="B18" s="5" t="s">
        <v>2172</v>
      </c>
      <c r="C18" t="s">
        <v>2173</v>
      </c>
      <c r="E18">
        <v>1</v>
      </c>
    </row>
    <row r="19" spans="1:5" x14ac:dyDescent="0.2">
      <c r="A19" t="str">
        <f t="shared" si="0"/>
        <v>catalog55_4000</v>
      </c>
      <c r="B19" s="5" t="s">
        <v>1801</v>
      </c>
      <c r="C19" t="s">
        <v>2174</v>
      </c>
      <c r="E19">
        <v>1</v>
      </c>
    </row>
    <row r="20" spans="1:5" x14ac:dyDescent="0.2">
      <c r="A20" t="str">
        <f t="shared" si="0"/>
        <v>catalog55_4001</v>
      </c>
      <c r="B20" s="5" t="s">
        <v>1803</v>
      </c>
      <c r="C20" t="s">
        <v>2175</v>
      </c>
      <c r="E20">
        <v>1</v>
      </c>
    </row>
    <row r="21" spans="1:5" x14ac:dyDescent="0.2">
      <c r="A21" t="str">
        <f t="shared" si="0"/>
        <v>catalog55_4002</v>
      </c>
      <c r="B21" s="5">
        <v>4002</v>
      </c>
      <c r="C21" t="s">
        <v>2176</v>
      </c>
      <c r="E21">
        <v>1</v>
      </c>
    </row>
    <row r="22" spans="1:5" x14ac:dyDescent="0.2">
      <c r="A22" t="str">
        <f t="shared" si="0"/>
        <v>catalog55_4003</v>
      </c>
      <c r="B22" s="5">
        <v>4003</v>
      </c>
      <c r="C22" t="s">
        <v>2177</v>
      </c>
      <c r="E22">
        <v>1</v>
      </c>
    </row>
    <row r="23" spans="1:5" x14ac:dyDescent="0.2">
      <c r="A23" t="str">
        <f t="shared" si="0"/>
        <v>catalog55_4004</v>
      </c>
      <c r="B23" s="5">
        <v>4004</v>
      </c>
      <c r="C23" t="s">
        <v>2178</v>
      </c>
      <c r="E23">
        <v>1</v>
      </c>
    </row>
    <row r="24" spans="1:5" x14ac:dyDescent="0.2">
      <c r="A24" t="str">
        <f t="shared" si="0"/>
        <v>catalog55_4005</v>
      </c>
      <c r="B24" s="5">
        <v>4005</v>
      </c>
      <c r="C24" t="s">
        <v>2179</v>
      </c>
      <c r="E24">
        <v>1</v>
      </c>
    </row>
    <row r="25" spans="1:5" x14ac:dyDescent="0.2">
      <c r="A25" t="str">
        <f t="shared" si="0"/>
        <v>catalog55_4006</v>
      </c>
      <c r="B25" s="5">
        <v>4006</v>
      </c>
      <c r="C25" t="s">
        <v>2180</v>
      </c>
      <c r="E25">
        <v>1</v>
      </c>
    </row>
    <row r="26" spans="1:5" x14ac:dyDescent="0.2">
      <c r="A26" t="str">
        <f t="shared" si="0"/>
        <v>catalog55_4007</v>
      </c>
      <c r="B26" s="5">
        <v>4007</v>
      </c>
      <c r="C26" t="s">
        <v>2181</v>
      </c>
      <c r="E26">
        <v>1</v>
      </c>
    </row>
    <row r="27" spans="1:5" x14ac:dyDescent="0.2">
      <c r="A27" t="str">
        <f t="shared" si="0"/>
        <v>catalog55_4008</v>
      </c>
      <c r="B27" s="5">
        <v>4008</v>
      </c>
      <c r="C27" t="s">
        <v>2182</v>
      </c>
      <c r="E27">
        <v>1</v>
      </c>
    </row>
    <row r="28" spans="1:5" x14ac:dyDescent="0.2">
      <c r="A28" t="str">
        <f t="shared" si="0"/>
        <v>catalog55_4009</v>
      </c>
      <c r="B28" s="5">
        <v>4009</v>
      </c>
      <c r="C28" t="s">
        <v>2183</v>
      </c>
      <c r="E28">
        <v>1</v>
      </c>
    </row>
    <row r="29" spans="1:5" x14ac:dyDescent="0.2">
      <c r="A29" t="str">
        <f t="shared" si="0"/>
        <v>catalog55_4030</v>
      </c>
      <c r="B29" s="5" t="s">
        <v>2184</v>
      </c>
      <c r="C29" t="s">
        <v>2185</v>
      </c>
      <c r="E29">
        <v>1</v>
      </c>
    </row>
    <row r="30" spans="1:5" x14ac:dyDescent="0.2">
      <c r="A30" t="str">
        <f t="shared" si="0"/>
        <v>catalog55_4031</v>
      </c>
      <c r="B30" s="5" t="s">
        <v>2186</v>
      </c>
      <c r="C30" t="s">
        <v>2187</v>
      </c>
      <c r="E30">
        <v>1</v>
      </c>
    </row>
    <row r="31" spans="1:5" x14ac:dyDescent="0.2">
      <c r="A31" t="str">
        <f t="shared" si="0"/>
        <v>catalog55_4032</v>
      </c>
      <c r="B31" s="5" t="s">
        <v>2188</v>
      </c>
      <c r="C31" t="s">
        <v>2189</v>
      </c>
      <c r="E31">
        <v>1</v>
      </c>
    </row>
    <row r="32" spans="1:5" x14ac:dyDescent="0.2">
      <c r="A32" t="str">
        <f t="shared" si="0"/>
        <v>catalog55_4033</v>
      </c>
      <c r="B32" s="5" t="s">
        <v>2190</v>
      </c>
      <c r="C32" t="s">
        <v>2191</v>
      </c>
      <c r="E32">
        <v>1</v>
      </c>
    </row>
    <row r="33" spans="1:5" x14ac:dyDescent="0.2">
      <c r="A33" t="str">
        <f t="shared" si="0"/>
        <v>catalog55_4040</v>
      </c>
      <c r="B33" s="5" t="s">
        <v>2192</v>
      </c>
      <c r="C33" t="s">
        <v>2193</v>
      </c>
      <c r="E33">
        <v>1</v>
      </c>
    </row>
    <row r="34" spans="1:5" x14ac:dyDescent="0.2">
      <c r="A34" t="str">
        <f t="shared" ref="A34:A65" si="1">CONCATENATE("catalog55_",B34)</f>
        <v>catalog55_4041</v>
      </c>
      <c r="B34" s="5" t="s">
        <v>2194</v>
      </c>
      <c r="C34" t="s">
        <v>2195</v>
      </c>
      <c r="E34">
        <v>1</v>
      </c>
    </row>
    <row r="35" spans="1:5" x14ac:dyDescent="0.2">
      <c r="A35" t="str">
        <f t="shared" si="1"/>
        <v>catalog55_4042</v>
      </c>
      <c r="B35" s="5" t="s">
        <v>2196</v>
      </c>
      <c r="C35" t="s">
        <v>2197</v>
      </c>
      <c r="E35">
        <v>1</v>
      </c>
    </row>
    <row r="36" spans="1:5" x14ac:dyDescent="0.2">
      <c r="A36" t="str">
        <f t="shared" si="1"/>
        <v>catalog55_4043</v>
      </c>
      <c r="B36" s="5" t="s">
        <v>2198</v>
      </c>
      <c r="C36" t="s">
        <v>2199</v>
      </c>
      <c r="E36">
        <v>1</v>
      </c>
    </row>
    <row r="37" spans="1:5" x14ac:dyDescent="0.2">
      <c r="A37" t="str">
        <f t="shared" si="1"/>
        <v>catalog55_4044</v>
      </c>
      <c r="B37" s="5" t="s">
        <v>2200</v>
      </c>
      <c r="C37" t="s">
        <v>2201</v>
      </c>
      <c r="E37">
        <v>1</v>
      </c>
    </row>
    <row r="38" spans="1:5" x14ac:dyDescent="0.2">
      <c r="A38" t="str">
        <f t="shared" si="1"/>
        <v>catalog55_4045</v>
      </c>
      <c r="B38" s="5" t="s">
        <v>2202</v>
      </c>
      <c r="C38" t="s">
        <v>2203</v>
      </c>
      <c r="E38">
        <v>1</v>
      </c>
    </row>
    <row r="39" spans="1:5" x14ac:dyDescent="0.2">
      <c r="A39" t="str">
        <f t="shared" si="1"/>
        <v>catalog55_4046</v>
      </c>
      <c r="B39" s="5" t="s">
        <v>2204</v>
      </c>
      <c r="C39" t="s">
        <v>2205</v>
      </c>
      <c r="E39">
        <v>1</v>
      </c>
    </row>
    <row r="40" spans="1:5" x14ac:dyDescent="0.2">
      <c r="A40" t="str">
        <f t="shared" si="1"/>
        <v>catalog55_4047</v>
      </c>
      <c r="B40" s="5" t="s">
        <v>2206</v>
      </c>
      <c r="C40" t="s">
        <v>2207</v>
      </c>
      <c r="E40">
        <v>1</v>
      </c>
    </row>
    <row r="41" spans="1:5" x14ac:dyDescent="0.2">
      <c r="A41" t="str">
        <f t="shared" si="1"/>
        <v>catalog55_4048</v>
      </c>
      <c r="B41" s="5" t="s">
        <v>2208</v>
      </c>
      <c r="C41" t="s">
        <v>2209</v>
      </c>
      <c r="E41">
        <v>1</v>
      </c>
    </row>
    <row r="42" spans="1:5" x14ac:dyDescent="0.2">
      <c r="A42" t="str">
        <f t="shared" si="1"/>
        <v>catalog55_4049</v>
      </c>
      <c r="B42" s="5" t="s">
        <v>2210</v>
      </c>
      <c r="C42" t="s">
        <v>2211</v>
      </c>
      <c r="E42">
        <v>1</v>
      </c>
    </row>
    <row r="43" spans="1:5" x14ac:dyDescent="0.2">
      <c r="A43" t="str">
        <f t="shared" si="1"/>
        <v>catalog55_4060</v>
      </c>
      <c r="B43" s="5" t="s">
        <v>2212</v>
      </c>
      <c r="C43" t="s">
        <v>2213</v>
      </c>
      <c r="E43">
        <v>0</v>
      </c>
    </row>
    <row r="44" spans="1:5" x14ac:dyDescent="0.2">
      <c r="A44" t="str">
        <f t="shared" si="1"/>
        <v>catalog55_4061</v>
      </c>
      <c r="B44" s="5" t="s">
        <v>2214</v>
      </c>
      <c r="C44" t="s">
        <v>2215</v>
      </c>
      <c r="E44">
        <v>0</v>
      </c>
    </row>
    <row r="45" spans="1:5" x14ac:dyDescent="0.2">
      <c r="A45" t="str">
        <f t="shared" si="1"/>
        <v>catalog55_4062</v>
      </c>
      <c r="B45" s="5" t="s">
        <v>2216</v>
      </c>
      <c r="C45" t="s">
        <v>2217</v>
      </c>
      <c r="E45">
        <v>0</v>
      </c>
    </row>
    <row r="46" spans="1:5" x14ac:dyDescent="0.2">
      <c r="A46" t="str">
        <f t="shared" si="1"/>
        <v>catalog55_4063</v>
      </c>
      <c r="B46" s="5" t="s">
        <v>2218</v>
      </c>
      <c r="C46" t="s">
        <v>2219</v>
      </c>
      <c r="E46">
        <v>0</v>
      </c>
    </row>
    <row r="47" spans="1:5" x14ac:dyDescent="0.2">
      <c r="A47" t="str">
        <f t="shared" si="1"/>
        <v>catalog55_4064</v>
      </c>
      <c r="B47" s="5" t="s">
        <v>2220</v>
      </c>
      <c r="C47" t="s">
        <v>2221</v>
      </c>
      <c r="E47">
        <v>0</v>
      </c>
    </row>
    <row r="48" spans="1:5" x14ac:dyDescent="0.2">
      <c r="A48" t="str">
        <f t="shared" si="1"/>
        <v>catalog55_5000</v>
      </c>
      <c r="B48" s="5">
        <v>5000</v>
      </c>
      <c r="C48" t="s">
        <v>1822</v>
      </c>
      <c r="E48">
        <v>1</v>
      </c>
    </row>
    <row r="49" spans="1:5" x14ac:dyDescent="0.2">
      <c r="A49" t="str">
        <f t="shared" si="1"/>
        <v>catalog55_5001</v>
      </c>
      <c r="B49" s="5">
        <v>5001</v>
      </c>
      <c r="C49" t="s">
        <v>2222</v>
      </c>
      <c r="E49">
        <v>1</v>
      </c>
    </row>
    <row r="50" spans="1:5" x14ac:dyDescent="0.2">
      <c r="A50" t="str">
        <f t="shared" si="1"/>
        <v>catalog55_5002</v>
      </c>
      <c r="B50" s="5">
        <v>5002</v>
      </c>
      <c r="C50" t="s">
        <v>2223</v>
      </c>
      <c r="E50">
        <v>1</v>
      </c>
    </row>
    <row r="51" spans="1:5" x14ac:dyDescent="0.2">
      <c r="A51" t="str">
        <f t="shared" si="1"/>
        <v>catalog55_5003</v>
      </c>
      <c r="B51" s="5">
        <v>5003</v>
      </c>
      <c r="C51" t="s">
        <v>2224</v>
      </c>
      <c r="E51">
        <v>1</v>
      </c>
    </row>
    <row r="52" spans="1:5" x14ac:dyDescent="0.2">
      <c r="A52" t="str">
        <f t="shared" si="1"/>
        <v>catalog55_5010</v>
      </c>
      <c r="B52" s="5" t="s">
        <v>2225</v>
      </c>
      <c r="C52" t="s">
        <v>2226</v>
      </c>
      <c r="E52">
        <v>1</v>
      </c>
    </row>
    <row r="53" spans="1:5" x14ac:dyDescent="0.2">
      <c r="A53" t="str">
        <f t="shared" si="1"/>
        <v>catalog55_5011</v>
      </c>
      <c r="B53" s="5" t="s">
        <v>2227</v>
      </c>
      <c r="C53" t="s">
        <v>2228</v>
      </c>
      <c r="E53">
        <v>1</v>
      </c>
    </row>
    <row r="54" spans="1:5" x14ac:dyDescent="0.2">
      <c r="A54" t="str">
        <f t="shared" si="1"/>
        <v>catalog55_5012</v>
      </c>
      <c r="B54" s="5" t="s">
        <v>2229</v>
      </c>
      <c r="C54" t="s">
        <v>2230</v>
      </c>
      <c r="E54">
        <v>1</v>
      </c>
    </row>
    <row r="55" spans="1:5" x14ac:dyDescent="0.2">
      <c r="A55" t="str">
        <f t="shared" si="1"/>
        <v>catalog55_5013</v>
      </c>
      <c r="B55" s="5" t="s">
        <v>2231</v>
      </c>
      <c r="C55" t="s">
        <v>2232</v>
      </c>
      <c r="E55">
        <v>1</v>
      </c>
    </row>
    <row r="56" spans="1:5" x14ac:dyDescent="0.2">
      <c r="A56" t="str">
        <f t="shared" si="1"/>
        <v>catalog55_5014</v>
      </c>
      <c r="B56" s="5" t="s">
        <v>2233</v>
      </c>
      <c r="C56" t="s">
        <v>2234</v>
      </c>
      <c r="E56">
        <v>1</v>
      </c>
    </row>
    <row r="57" spans="1:5" x14ac:dyDescent="0.2">
      <c r="A57" t="str">
        <f t="shared" si="1"/>
        <v>catalog55_5015</v>
      </c>
      <c r="B57" s="5" t="s">
        <v>2235</v>
      </c>
      <c r="C57" t="s">
        <v>2236</v>
      </c>
      <c r="E57">
        <v>1</v>
      </c>
    </row>
    <row r="58" spans="1:5" x14ac:dyDescent="0.2">
      <c r="A58" t="str">
        <f t="shared" si="1"/>
        <v>catalog55_5016</v>
      </c>
      <c r="B58" s="5" t="s">
        <v>2237</v>
      </c>
      <c r="C58" t="s">
        <v>2238</v>
      </c>
      <c r="E58">
        <v>1</v>
      </c>
    </row>
    <row r="59" spans="1:5" x14ac:dyDescent="0.2">
      <c r="A59" t="str">
        <f t="shared" si="1"/>
        <v>catalog55_5017</v>
      </c>
      <c r="B59" s="5" t="s">
        <v>2239</v>
      </c>
      <c r="C59" t="s">
        <v>2240</v>
      </c>
      <c r="E59">
        <v>1</v>
      </c>
    </row>
    <row r="60" spans="1:5" x14ac:dyDescent="0.2">
      <c r="A60" t="str">
        <f t="shared" si="1"/>
        <v>catalog55_5018</v>
      </c>
      <c r="B60" s="5" t="s">
        <v>2241</v>
      </c>
      <c r="C60" t="s">
        <v>2242</v>
      </c>
      <c r="E60">
        <v>1</v>
      </c>
    </row>
    <row r="61" spans="1:5" x14ac:dyDescent="0.2">
      <c r="A61" t="str">
        <f t="shared" si="1"/>
        <v>catalog55_5019</v>
      </c>
      <c r="B61" s="5" t="s">
        <v>2243</v>
      </c>
      <c r="C61" t="s">
        <v>2244</v>
      </c>
      <c r="E61">
        <v>1</v>
      </c>
    </row>
    <row r="62" spans="1:5" x14ac:dyDescent="0.2">
      <c r="A62" t="str">
        <f t="shared" si="1"/>
        <v>catalog55_5020</v>
      </c>
      <c r="B62" s="5" t="s">
        <v>2245</v>
      </c>
      <c r="C62" t="s">
        <v>2246</v>
      </c>
      <c r="E62">
        <v>1</v>
      </c>
    </row>
    <row r="63" spans="1:5" x14ac:dyDescent="0.2">
      <c r="A63" t="str">
        <f t="shared" si="1"/>
        <v>catalog55_5021</v>
      </c>
      <c r="B63" s="5" t="s">
        <v>2247</v>
      </c>
      <c r="C63" t="s">
        <v>2248</v>
      </c>
      <c r="E63">
        <v>1</v>
      </c>
    </row>
    <row r="64" spans="1:5" x14ac:dyDescent="0.2">
      <c r="A64" t="str">
        <f t="shared" si="1"/>
        <v>catalog55_5022</v>
      </c>
      <c r="B64" s="5" t="s">
        <v>2249</v>
      </c>
      <c r="C64" t="s">
        <v>2250</v>
      </c>
      <c r="E64">
        <v>1</v>
      </c>
    </row>
    <row r="65" spans="1:5" x14ac:dyDescent="0.2">
      <c r="A65" t="str">
        <f t="shared" si="1"/>
        <v>catalog55_5023</v>
      </c>
      <c r="B65" s="5" t="s">
        <v>2251</v>
      </c>
      <c r="C65" t="s">
        <v>2252</v>
      </c>
      <c r="E65">
        <v>1</v>
      </c>
    </row>
    <row r="66" spans="1:5" x14ac:dyDescent="0.2">
      <c r="A66" t="str">
        <f t="shared" ref="A66:A97" si="2">CONCATENATE("catalog55_",B66)</f>
        <v>catalog55_5024</v>
      </c>
      <c r="B66" s="5" t="s">
        <v>2253</v>
      </c>
      <c r="C66" t="s">
        <v>2254</v>
      </c>
      <c r="E66">
        <v>1</v>
      </c>
    </row>
    <row r="67" spans="1:5" x14ac:dyDescent="0.2">
      <c r="A67" t="str">
        <f t="shared" si="2"/>
        <v>catalog55_5025</v>
      </c>
      <c r="B67" s="5" t="s">
        <v>2255</v>
      </c>
      <c r="C67" t="s">
        <v>2256</v>
      </c>
      <c r="E67">
        <v>1</v>
      </c>
    </row>
    <row r="68" spans="1:5" x14ac:dyDescent="0.2">
      <c r="A68" t="str">
        <f t="shared" si="2"/>
        <v>catalog55_5026</v>
      </c>
      <c r="B68" s="5" t="s">
        <v>2257</v>
      </c>
      <c r="C68" t="s">
        <v>2258</v>
      </c>
      <c r="E68">
        <v>1</v>
      </c>
    </row>
    <row r="69" spans="1:5" x14ac:dyDescent="0.2">
      <c r="A69" t="str">
        <f t="shared" si="2"/>
        <v>catalog55_5027</v>
      </c>
      <c r="B69" s="5" t="s">
        <v>2259</v>
      </c>
      <c r="C69" t="s">
        <v>2260</v>
      </c>
      <c r="E69">
        <v>1</v>
      </c>
    </row>
    <row r="70" spans="1:5" x14ac:dyDescent="0.2">
      <c r="A70" t="str">
        <f t="shared" si="2"/>
        <v>catalog55_5028</v>
      </c>
      <c r="B70" s="5" t="s">
        <v>2261</v>
      </c>
      <c r="C70" t="s">
        <v>2262</v>
      </c>
      <c r="E70">
        <v>1</v>
      </c>
    </row>
    <row r="71" spans="1:5" x14ac:dyDescent="0.2">
      <c r="A71" t="str">
        <f t="shared" si="2"/>
        <v>catalog55_5029</v>
      </c>
      <c r="B71" s="5" t="s">
        <v>2263</v>
      </c>
      <c r="C71" t="s">
        <v>2264</v>
      </c>
      <c r="E71">
        <v>1</v>
      </c>
    </row>
    <row r="72" spans="1:5" x14ac:dyDescent="0.2">
      <c r="A72" t="str">
        <f t="shared" si="2"/>
        <v>catalog55_5030</v>
      </c>
      <c r="B72" s="5" t="s">
        <v>2265</v>
      </c>
      <c r="C72" t="s">
        <v>2266</v>
      </c>
      <c r="E72">
        <v>1</v>
      </c>
    </row>
    <row r="73" spans="1:5" x14ac:dyDescent="0.2">
      <c r="A73" t="str">
        <f t="shared" si="2"/>
        <v>catalog55_5031</v>
      </c>
      <c r="B73" s="5" t="s">
        <v>2267</v>
      </c>
      <c r="C73" t="s">
        <v>2268</v>
      </c>
      <c r="E73">
        <v>1</v>
      </c>
    </row>
    <row r="74" spans="1:5" x14ac:dyDescent="0.2">
      <c r="A74" t="str">
        <f t="shared" si="2"/>
        <v>catalog55_5032</v>
      </c>
      <c r="B74" s="5" t="s">
        <v>2269</v>
      </c>
      <c r="C74" t="s">
        <v>2270</v>
      </c>
      <c r="E74">
        <v>1</v>
      </c>
    </row>
    <row r="75" spans="1:5" x14ac:dyDescent="0.2">
      <c r="A75" t="str">
        <f t="shared" si="2"/>
        <v>catalog55_5033</v>
      </c>
      <c r="B75" s="5" t="s">
        <v>2271</v>
      </c>
      <c r="C75" t="s">
        <v>2272</v>
      </c>
      <c r="E75">
        <v>1</v>
      </c>
    </row>
    <row r="76" spans="1:5" x14ac:dyDescent="0.2">
      <c r="A76" t="str">
        <f t="shared" si="2"/>
        <v>catalog55_5034</v>
      </c>
      <c r="B76" s="5" t="s">
        <v>2273</v>
      </c>
      <c r="C76" t="s">
        <v>2274</v>
      </c>
      <c r="E76">
        <v>1</v>
      </c>
    </row>
    <row r="77" spans="1:5" x14ac:dyDescent="0.2">
      <c r="A77" t="str">
        <f t="shared" si="2"/>
        <v>catalog55_5035</v>
      </c>
      <c r="B77" s="5" t="s">
        <v>2275</v>
      </c>
      <c r="C77" t="s">
        <v>2276</v>
      </c>
      <c r="E77">
        <v>1</v>
      </c>
    </row>
    <row r="78" spans="1:5" x14ac:dyDescent="0.2">
      <c r="A78" t="str">
        <f t="shared" si="2"/>
        <v>catalog55_5036</v>
      </c>
      <c r="B78" s="5" t="s">
        <v>2277</v>
      </c>
      <c r="C78" t="s">
        <v>2278</v>
      </c>
      <c r="E78">
        <v>1</v>
      </c>
    </row>
    <row r="79" spans="1:5" x14ac:dyDescent="0.2">
      <c r="A79" t="str">
        <f t="shared" si="2"/>
        <v>catalog55_5060</v>
      </c>
      <c r="B79" s="5" t="s">
        <v>2279</v>
      </c>
      <c r="C79" t="s">
        <v>2280</v>
      </c>
      <c r="E79">
        <v>1</v>
      </c>
    </row>
    <row r="80" spans="1:5" x14ac:dyDescent="0.2">
      <c r="A80" t="str">
        <f t="shared" si="2"/>
        <v>catalog55_5061</v>
      </c>
      <c r="B80" s="5" t="s">
        <v>2281</v>
      </c>
      <c r="C80" t="s">
        <v>2282</v>
      </c>
      <c r="E80">
        <v>1</v>
      </c>
    </row>
    <row r="81" spans="1:5" x14ac:dyDescent="0.2">
      <c r="A81" t="str">
        <f t="shared" si="2"/>
        <v>catalog55_5062</v>
      </c>
      <c r="B81" s="5" t="s">
        <v>2283</v>
      </c>
      <c r="C81" t="s">
        <v>2284</v>
      </c>
      <c r="E81">
        <v>1</v>
      </c>
    </row>
    <row r="82" spans="1:5" x14ac:dyDescent="0.2">
      <c r="A82" t="str">
        <f t="shared" si="2"/>
        <v>catalog55_5063</v>
      </c>
      <c r="B82" s="5" t="s">
        <v>2285</v>
      </c>
      <c r="C82" t="s">
        <v>2286</v>
      </c>
      <c r="E82">
        <v>1</v>
      </c>
    </row>
    <row r="83" spans="1:5" x14ac:dyDescent="0.2">
      <c r="A83" t="str">
        <f t="shared" si="2"/>
        <v>catalog55_5064</v>
      </c>
      <c r="B83" s="5" t="s">
        <v>2287</v>
      </c>
      <c r="C83" t="s">
        <v>2288</v>
      </c>
      <c r="E83">
        <v>1</v>
      </c>
    </row>
    <row r="84" spans="1:5" x14ac:dyDescent="0.2">
      <c r="A84" t="str">
        <f t="shared" si="2"/>
        <v>catalog55_5065</v>
      </c>
      <c r="B84" s="5" t="s">
        <v>2289</v>
      </c>
      <c r="C84" t="s">
        <v>2290</v>
      </c>
      <c r="E84">
        <v>1</v>
      </c>
    </row>
    <row r="85" spans="1:5" x14ac:dyDescent="0.2">
      <c r="A85" t="str">
        <f t="shared" si="2"/>
        <v>catalog55_5066</v>
      </c>
      <c r="B85" s="5" t="s">
        <v>2291</v>
      </c>
      <c r="C85" t="s">
        <v>2292</v>
      </c>
      <c r="E85">
        <v>1</v>
      </c>
    </row>
    <row r="86" spans="1:5" x14ac:dyDescent="0.2">
      <c r="A86" t="str">
        <f t="shared" si="2"/>
        <v>catalog55_6000</v>
      </c>
      <c r="B86" s="5">
        <v>6000</v>
      </c>
      <c r="C86" t="s">
        <v>2293</v>
      </c>
      <c r="E86">
        <v>1</v>
      </c>
    </row>
    <row r="87" spans="1:5" x14ac:dyDescent="0.2">
      <c r="A87" t="str">
        <f t="shared" si="2"/>
        <v>catalog55_6001</v>
      </c>
      <c r="B87" s="5">
        <v>6001</v>
      </c>
      <c r="C87" t="s">
        <v>2294</v>
      </c>
      <c r="E87">
        <v>1</v>
      </c>
    </row>
    <row r="88" spans="1:5" x14ac:dyDescent="0.2">
      <c r="A88" t="str">
        <f t="shared" si="2"/>
        <v>catalog55_6002</v>
      </c>
      <c r="B88" s="5">
        <v>6002</v>
      </c>
      <c r="C88" t="s">
        <v>2295</v>
      </c>
      <c r="E88">
        <v>1</v>
      </c>
    </row>
    <row r="89" spans="1:5" x14ac:dyDescent="0.2">
      <c r="A89" t="str">
        <f t="shared" si="2"/>
        <v>catalog55_6003</v>
      </c>
      <c r="B89" s="5">
        <v>6003</v>
      </c>
      <c r="C89" t="s">
        <v>2296</v>
      </c>
      <c r="E89">
        <v>1</v>
      </c>
    </row>
    <row r="90" spans="1:5" x14ac:dyDescent="0.2">
      <c r="A90" t="str">
        <f t="shared" si="2"/>
        <v>catalog55_6004</v>
      </c>
      <c r="B90" s="5">
        <v>6004</v>
      </c>
      <c r="C90" t="s">
        <v>2297</v>
      </c>
      <c r="E90">
        <v>1</v>
      </c>
    </row>
    <row r="91" spans="1:5" x14ac:dyDescent="0.2">
      <c r="A91" t="str">
        <f t="shared" si="2"/>
        <v>catalog55_7000</v>
      </c>
      <c r="B91" s="5" t="s">
        <v>1843</v>
      </c>
      <c r="C91" t="s">
        <v>2298</v>
      </c>
      <c r="E91">
        <v>1</v>
      </c>
    </row>
    <row r="92" spans="1:5" x14ac:dyDescent="0.2">
      <c r="A92" t="str">
        <f t="shared" si="2"/>
        <v>catalog55_7001</v>
      </c>
      <c r="B92" s="5">
        <v>7001</v>
      </c>
      <c r="C92" t="s">
        <v>2299</v>
      </c>
      <c r="E92">
        <v>1</v>
      </c>
    </row>
    <row r="93" spans="1:5" x14ac:dyDescent="0.2">
      <c r="A93" t="str">
        <f t="shared" si="2"/>
        <v>catalog55_7002</v>
      </c>
      <c r="B93" s="5">
        <v>7002</v>
      </c>
      <c r="C93" t="s">
        <v>2300</v>
      </c>
      <c r="E93">
        <v>1</v>
      </c>
    </row>
    <row r="94" spans="1:5" x14ac:dyDescent="0.2">
      <c r="A94" t="str">
        <f t="shared" si="2"/>
        <v>catalog55_7003</v>
      </c>
      <c r="B94" s="5">
        <v>7003</v>
      </c>
      <c r="C94" t="s">
        <v>2301</v>
      </c>
      <c r="E94">
        <v>1</v>
      </c>
    </row>
    <row r="95" spans="1:5" x14ac:dyDescent="0.2">
      <c r="A95" t="str">
        <f t="shared" si="2"/>
        <v>catalog55_7004</v>
      </c>
      <c r="B95" s="5" t="s">
        <v>2302</v>
      </c>
      <c r="C95" t="s">
        <v>2303</v>
      </c>
      <c r="E95">
        <v>1</v>
      </c>
    </row>
    <row r="96" spans="1:5" x14ac:dyDescent="0.2">
      <c r="A96" t="str">
        <f t="shared" si="2"/>
        <v>catalog55_7005</v>
      </c>
      <c r="B96" s="5" t="s">
        <v>2304</v>
      </c>
      <c r="C96" t="s">
        <v>2305</v>
      </c>
      <c r="E96">
        <v>1</v>
      </c>
    </row>
    <row r="97" spans="1:5" x14ac:dyDescent="0.2">
      <c r="A97" t="str">
        <f t="shared" si="2"/>
        <v>catalog55_7006</v>
      </c>
      <c r="B97" s="5" t="s">
        <v>2306</v>
      </c>
      <c r="C97" t="s">
        <v>2307</v>
      </c>
      <c r="E97">
        <v>1</v>
      </c>
    </row>
    <row r="98" spans="1:5" x14ac:dyDescent="0.2">
      <c r="A98" t="str">
        <f t="shared" ref="A98:A129" si="3">CONCATENATE("catalog55_",B98)</f>
        <v>catalog55_7007</v>
      </c>
      <c r="B98" s="5" t="s">
        <v>2308</v>
      </c>
      <c r="C98" t="s">
        <v>2309</v>
      </c>
      <c r="E98">
        <v>1</v>
      </c>
    </row>
    <row r="99" spans="1:5" x14ac:dyDescent="0.2">
      <c r="A99" t="str">
        <f t="shared" si="3"/>
        <v>catalog55_7008</v>
      </c>
      <c r="B99" s="5" t="s">
        <v>2310</v>
      </c>
      <c r="C99" t="s">
        <v>2311</v>
      </c>
      <c r="E99">
        <v>1</v>
      </c>
    </row>
    <row r="100" spans="1:5" x14ac:dyDescent="0.2">
      <c r="A100" t="str">
        <f t="shared" si="3"/>
        <v>catalog55_7009</v>
      </c>
      <c r="B100" s="5" t="s">
        <v>2312</v>
      </c>
      <c r="C100" t="s">
        <v>2313</v>
      </c>
      <c r="E100">
        <v>1</v>
      </c>
    </row>
    <row r="101" spans="1:5" x14ac:dyDescent="0.2">
      <c r="A101" t="str">
        <f t="shared" si="3"/>
        <v>catalog55_7010</v>
      </c>
      <c r="B101" s="5" t="s">
        <v>2314</v>
      </c>
      <c r="C101" t="s">
        <v>2315</v>
      </c>
      <c r="E101">
        <v>1</v>
      </c>
    </row>
    <row r="102" spans="1:5" x14ac:dyDescent="0.2">
      <c r="A102" t="str">
        <f t="shared" si="3"/>
        <v>catalog55_7011</v>
      </c>
      <c r="B102" s="5" t="s">
        <v>2316</v>
      </c>
      <c r="C102" t="s">
        <v>2317</v>
      </c>
      <c r="E102">
        <v>1</v>
      </c>
    </row>
    <row r="103" spans="1:5" x14ac:dyDescent="0.2">
      <c r="A103" t="str">
        <f t="shared" si="3"/>
        <v>catalog55_7012</v>
      </c>
      <c r="B103" s="5" t="s">
        <v>2318</v>
      </c>
      <c r="C103" t="s">
        <v>2319</v>
      </c>
      <c r="E103">
        <v>1</v>
      </c>
    </row>
    <row r="104" spans="1:5" x14ac:dyDescent="0.2">
      <c r="A104" t="str">
        <f t="shared" si="3"/>
        <v>catalog55_7013</v>
      </c>
      <c r="B104" s="5" t="s">
        <v>2320</v>
      </c>
      <c r="C104" t="s">
        <v>2321</v>
      </c>
      <c r="E104">
        <v>1</v>
      </c>
    </row>
    <row r="105" spans="1:5" x14ac:dyDescent="0.2">
      <c r="A105" t="str">
        <f t="shared" si="3"/>
        <v>catalog55_7014</v>
      </c>
      <c r="B105" s="5" t="s">
        <v>2322</v>
      </c>
      <c r="C105" t="s">
        <v>2323</v>
      </c>
      <c r="E105">
        <v>1</v>
      </c>
    </row>
    <row r="106" spans="1:5" x14ac:dyDescent="0.2">
      <c r="A106" t="str">
        <f t="shared" si="3"/>
        <v>catalog55_7015</v>
      </c>
      <c r="B106" s="5" t="s">
        <v>2324</v>
      </c>
      <c r="C106" t="s">
        <v>2325</v>
      </c>
      <c r="E106">
        <v>1</v>
      </c>
    </row>
    <row r="107" spans="1:5" x14ac:dyDescent="0.2">
      <c r="A107" t="str">
        <f t="shared" si="3"/>
        <v>catalog55_7016</v>
      </c>
      <c r="B107" s="5" t="s">
        <v>2326</v>
      </c>
      <c r="C107" t="s">
        <v>2327</v>
      </c>
      <c r="E107">
        <v>1</v>
      </c>
    </row>
    <row r="108" spans="1:5" x14ac:dyDescent="0.2">
      <c r="A108" t="str">
        <f t="shared" si="3"/>
        <v>catalog55_7020</v>
      </c>
      <c r="B108" s="5" t="s">
        <v>2328</v>
      </c>
      <c r="C108" t="s">
        <v>2329</v>
      </c>
      <c r="E108">
        <v>1</v>
      </c>
    </row>
    <row r="109" spans="1:5" x14ac:dyDescent="0.2">
      <c r="A109" t="str">
        <f t="shared" si="3"/>
        <v>catalog55_7021</v>
      </c>
      <c r="B109" s="5" t="s">
        <v>2330</v>
      </c>
      <c r="C109" t="s">
        <v>2331</v>
      </c>
      <c r="E109">
        <v>1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Roman,Normal"&amp;12&amp;A</oddHeader>
    <oddFooter>&amp;C&amp;"Times New Roman,Normal"&amp;12Página &amp;P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D7"/>
  <sheetViews>
    <sheetView zoomScale="120" zoomScaleNormal="120" workbookViewId="0"/>
  </sheetViews>
  <sheetFormatPr baseColWidth="10" defaultColWidth="11.85546875" defaultRowHeight="12.75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tr">
        <f t="shared" ref="A2:A7" si="0">CONCATENATE("catalog56_",B2)</f>
        <v>catalog56_1</v>
      </c>
      <c r="B2">
        <v>1</v>
      </c>
      <c r="C2" t="s">
        <v>2332</v>
      </c>
    </row>
    <row r="3" spans="1:4" x14ac:dyDescent="0.2">
      <c r="A3" t="str">
        <f t="shared" si="0"/>
        <v>catalog56_2</v>
      </c>
      <c r="B3">
        <v>2</v>
      </c>
      <c r="C3" t="s">
        <v>2333</v>
      </c>
    </row>
    <row r="4" spans="1:4" x14ac:dyDescent="0.2">
      <c r="A4" t="str">
        <f t="shared" si="0"/>
        <v>catalog56_3</v>
      </c>
      <c r="B4">
        <v>3</v>
      </c>
      <c r="C4" t="s">
        <v>2334</v>
      </c>
    </row>
    <row r="5" spans="1:4" x14ac:dyDescent="0.2">
      <c r="A5" t="str">
        <f t="shared" si="0"/>
        <v>catalog56_4</v>
      </c>
      <c r="B5">
        <v>4</v>
      </c>
      <c r="C5" t="s">
        <v>2335</v>
      </c>
    </row>
    <row r="6" spans="1:4" x14ac:dyDescent="0.2">
      <c r="A6" t="str">
        <f t="shared" si="0"/>
        <v>catalog56_5</v>
      </c>
      <c r="B6">
        <v>5</v>
      </c>
      <c r="C6" t="s">
        <v>2336</v>
      </c>
    </row>
    <row r="7" spans="1:4" x14ac:dyDescent="0.2">
      <c r="A7" t="str">
        <f t="shared" si="0"/>
        <v>catalog56_6</v>
      </c>
      <c r="B7">
        <v>6</v>
      </c>
      <c r="C7" t="s">
        <v>2337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Roman,Normal"&amp;12&amp;A</oddHeader>
    <oddFooter>&amp;C&amp;"Times New Roman,Normal"&amp;12Página &amp;P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D5"/>
  <sheetViews>
    <sheetView zoomScale="120" zoomScaleNormal="120" workbookViewId="0">
      <selection activeCell="A2" sqref="A2"/>
    </sheetView>
  </sheetViews>
  <sheetFormatPr baseColWidth="10" defaultColWidth="11.85546875" defaultRowHeight="12.75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tr">
        <f>CONCATENATE("catalog57_",B2)</f>
        <v>catalog57_1</v>
      </c>
      <c r="B2">
        <v>1</v>
      </c>
      <c r="C2" t="s">
        <v>2338</v>
      </c>
    </row>
    <row r="3" spans="1:4" x14ac:dyDescent="0.2">
      <c r="A3" t="str">
        <f>CONCATENATE("catalog57_",B3)</f>
        <v>catalog57_2</v>
      </c>
      <c r="B3">
        <v>2</v>
      </c>
      <c r="C3" t="s">
        <v>2339</v>
      </c>
    </row>
    <row r="4" spans="1:4" x14ac:dyDescent="0.2">
      <c r="A4" t="str">
        <f>CONCATENATE("catalog57_",B4)</f>
        <v>catalog57_3</v>
      </c>
      <c r="B4">
        <v>3</v>
      </c>
      <c r="C4" t="s">
        <v>2340</v>
      </c>
    </row>
    <row r="5" spans="1:4" x14ac:dyDescent="0.2">
      <c r="A5" t="str">
        <f>CONCATENATE("catalog57_",B5)</f>
        <v>catalog57_4</v>
      </c>
      <c r="B5">
        <v>4</v>
      </c>
      <c r="C5" t="s">
        <v>2341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Roman,Normal"&amp;12&amp;A</oddHeader>
    <oddFooter>&amp;C&amp;"Times New Roman,Normal"&amp;12Página &amp;P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D3"/>
  <sheetViews>
    <sheetView zoomScale="120" zoomScaleNormal="120" workbookViewId="0">
      <selection activeCell="A2" sqref="A2"/>
    </sheetView>
  </sheetViews>
  <sheetFormatPr baseColWidth="10" defaultColWidth="11.85546875" defaultRowHeight="12.75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tr">
        <f>CONCATENATE("catalog58_",B2)</f>
        <v>catalog58_1</v>
      </c>
      <c r="B2">
        <v>1</v>
      </c>
      <c r="C2" t="s">
        <v>2342</v>
      </c>
    </row>
    <row r="3" spans="1:4" x14ac:dyDescent="0.2">
      <c r="A3" t="str">
        <f>CONCATENATE("catalog58_",B3)</f>
        <v>catalog58_2</v>
      </c>
      <c r="B3">
        <v>2</v>
      </c>
      <c r="C3" t="s">
        <v>2343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Roman,Normal"&amp;12&amp;A</oddHeader>
    <oddFooter>&amp;C&amp;"Times New Roman,Normal"&amp;12Página &amp;P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D23"/>
  <sheetViews>
    <sheetView zoomScale="120" zoomScaleNormal="120" workbookViewId="0"/>
  </sheetViews>
  <sheetFormatPr baseColWidth="10" defaultColWidth="11.85546875" defaultRowHeight="12.75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tr">
        <f t="shared" ref="A2:A23" si="0">CONCATENATE("catalog59_",B2)</f>
        <v>catalog59_001</v>
      </c>
      <c r="B2" t="s">
        <v>2080</v>
      </c>
      <c r="C2" t="s">
        <v>2344</v>
      </c>
    </row>
    <row r="3" spans="1:4" x14ac:dyDescent="0.2">
      <c r="A3" t="str">
        <f t="shared" si="0"/>
        <v>catalog59_002</v>
      </c>
      <c r="B3" t="s">
        <v>2082</v>
      </c>
      <c r="C3" t="s">
        <v>2345</v>
      </c>
    </row>
    <row r="4" spans="1:4" x14ac:dyDescent="0.2">
      <c r="A4" t="str">
        <f t="shared" si="0"/>
        <v>catalog59_003</v>
      </c>
      <c r="B4" t="s">
        <v>2084</v>
      </c>
      <c r="C4" t="s">
        <v>2346</v>
      </c>
    </row>
    <row r="5" spans="1:4" x14ac:dyDescent="0.2">
      <c r="A5" t="str">
        <f t="shared" si="0"/>
        <v>catalog59_004</v>
      </c>
      <c r="B5" t="s">
        <v>974</v>
      </c>
      <c r="C5" t="s">
        <v>2347</v>
      </c>
    </row>
    <row r="6" spans="1:4" x14ac:dyDescent="0.2">
      <c r="A6" t="str">
        <f t="shared" si="0"/>
        <v>catalog59_005</v>
      </c>
      <c r="B6" t="s">
        <v>2087</v>
      </c>
      <c r="C6" t="s">
        <v>2348</v>
      </c>
    </row>
    <row r="7" spans="1:4" x14ac:dyDescent="0.2">
      <c r="A7" t="str">
        <f t="shared" si="0"/>
        <v>catalog59_006</v>
      </c>
      <c r="B7" t="s">
        <v>2089</v>
      </c>
      <c r="C7" t="s">
        <v>2349</v>
      </c>
    </row>
    <row r="8" spans="1:4" x14ac:dyDescent="0.2">
      <c r="A8" t="str">
        <f t="shared" si="0"/>
        <v>catalog59_007</v>
      </c>
      <c r="B8" t="s">
        <v>2091</v>
      </c>
      <c r="C8" t="s">
        <v>2350</v>
      </c>
    </row>
    <row r="9" spans="1:4" x14ac:dyDescent="0.2">
      <c r="A9" t="str">
        <f t="shared" si="0"/>
        <v>catalog59_008</v>
      </c>
      <c r="B9" t="s">
        <v>59</v>
      </c>
      <c r="C9" t="s">
        <v>2351</v>
      </c>
    </row>
    <row r="10" spans="1:4" x14ac:dyDescent="0.2">
      <c r="A10" t="str">
        <f t="shared" si="0"/>
        <v>catalog59_009</v>
      </c>
      <c r="B10" t="s">
        <v>2094</v>
      </c>
      <c r="C10" t="s">
        <v>2352</v>
      </c>
    </row>
    <row r="11" spans="1:4" x14ac:dyDescent="0.2">
      <c r="A11" t="str">
        <f t="shared" si="0"/>
        <v>catalog59_010</v>
      </c>
      <c r="B11" t="s">
        <v>994</v>
      </c>
      <c r="C11" t="s">
        <v>2353</v>
      </c>
    </row>
    <row r="12" spans="1:4" x14ac:dyDescent="0.2">
      <c r="A12" t="str">
        <f t="shared" si="0"/>
        <v>catalog59_011</v>
      </c>
      <c r="B12" t="s">
        <v>2097</v>
      </c>
      <c r="C12" t="s">
        <v>2354</v>
      </c>
    </row>
    <row r="13" spans="1:4" x14ac:dyDescent="0.2">
      <c r="A13" t="str">
        <f t="shared" si="0"/>
        <v>catalog59_012</v>
      </c>
      <c r="B13" t="s">
        <v>63</v>
      </c>
      <c r="C13" t="s">
        <v>2355</v>
      </c>
    </row>
    <row r="14" spans="1:4" x14ac:dyDescent="0.2">
      <c r="A14" t="str">
        <f t="shared" si="0"/>
        <v>catalog59_013</v>
      </c>
      <c r="B14" t="s">
        <v>2100</v>
      </c>
      <c r="C14" t="s">
        <v>2356</v>
      </c>
    </row>
    <row r="15" spans="1:4" x14ac:dyDescent="0.2">
      <c r="A15" t="str">
        <f t="shared" si="0"/>
        <v>catalog59_101</v>
      </c>
      <c r="B15" t="s">
        <v>2357</v>
      </c>
      <c r="C15" t="s">
        <v>2358</v>
      </c>
    </row>
    <row r="16" spans="1:4" x14ac:dyDescent="0.2">
      <c r="A16" t="str">
        <f t="shared" si="0"/>
        <v>catalog59_102</v>
      </c>
      <c r="B16" t="s">
        <v>2359</v>
      </c>
      <c r="C16" t="s">
        <v>2360</v>
      </c>
    </row>
    <row r="17" spans="1:3" x14ac:dyDescent="0.2">
      <c r="A17" t="str">
        <f t="shared" si="0"/>
        <v>catalog59_103</v>
      </c>
      <c r="B17" t="s">
        <v>2361</v>
      </c>
      <c r="C17" t="s">
        <v>2362</v>
      </c>
    </row>
    <row r="18" spans="1:3" x14ac:dyDescent="0.2">
      <c r="A18" t="str">
        <f t="shared" si="0"/>
        <v>catalog59_104</v>
      </c>
      <c r="B18" t="s">
        <v>532</v>
      </c>
      <c r="C18" t="s">
        <v>2363</v>
      </c>
    </row>
    <row r="19" spans="1:3" x14ac:dyDescent="0.2">
      <c r="A19" t="str">
        <f t="shared" si="0"/>
        <v>catalog59_105</v>
      </c>
      <c r="B19" t="s">
        <v>2364</v>
      </c>
      <c r="C19" t="s">
        <v>2365</v>
      </c>
    </row>
    <row r="20" spans="1:3" x14ac:dyDescent="0.2">
      <c r="A20" t="str">
        <f t="shared" si="0"/>
        <v>catalog59_106</v>
      </c>
      <c r="B20" t="s">
        <v>2366</v>
      </c>
      <c r="C20" t="s">
        <v>2367</v>
      </c>
    </row>
    <row r="21" spans="1:3" x14ac:dyDescent="0.2">
      <c r="A21" t="str">
        <f t="shared" si="0"/>
        <v>catalog59_107</v>
      </c>
      <c r="B21" t="s">
        <v>2368</v>
      </c>
      <c r="C21" t="s">
        <v>2369</v>
      </c>
    </row>
    <row r="22" spans="1:3" x14ac:dyDescent="0.2">
      <c r="A22" t="str">
        <f t="shared" si="0"/>
        <v>catalog59_108</v>
      </c>
      <c r="B22" t="s">
        <v>176</v>
      </c>
      <c r="C22" t="s">
        <v>2370</v>
      </c>
    </row>
    <row r="23" spans="1:3" x14ac:dyDescent="0.2">
      <c r="A23" t="str">
        <f t="shared" si="0"/>
        <v>catalog59_999</v>
      </c>
      <c r="B23" t="s">
        <v>828</v>
      </c>
      <c r="C23" t="s">
        <v>2371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Roman,Normal"&amp;12&amp;A</oddHeader>
    <oddFooter>&amp;C&amp;"Times New Roman,Normal"&amp;12Página &amp;P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D6"/>
  <sheetViews>
    <sheetView zoomScale="120" zoomScaleNormal="120" workbookViewId="0"/>
  </sheetViews>
  <sheetFormatPr baseColWidth="10" defaultColWidth="11.5703125" defaultRowHeight="12.75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tr">
        <f>CONCATENATE("catalog60_",B2)</f>
        <v>catalog60_01</v>
      </c>
      <c r="B2" t="s">
        <v>4</v>
      </c>
      <c r="C2" t="s">
        <v>2372</v>
      </c>
    </row>
    <row r="3" spans="1:4" x14ac:dyDescent="0.2">
      <c r="A3" t="str">
        <f>CONCATENATE("catalog60_",B3)</f>
        <v>catalog60_02</v>
      </c>
      <c r="B3" t="s">
        <v>1700</v>
      </c>
      <c r="C3" t="s">
        <v>2373</v>
      </c>
    </row>
    <row r="4" spans="1:4" x14ac:dyDescent="0.2">
      <c r="A4" t="str">
        <f>CONCATENATE("catalog60_",B4)</f>
        <v>catalog60_03</v>
      </c>
      <c r="B4" t="s">
        <v>6</v>
      </c>
      <c r="C4" t="s">
        <v>2374</v>
      </c>
    </row>
    <row r="5" spans="1:4" x14ac:dyDescent="0.2">
      <c r="A5" t="str">
        <f>CONCATENATE("catalog60_",B5)</f>
        <v>catalog60_04</v>
      </c>
      <c r="B5" t="s">
        <v>1706</v>
      </c>
      <c r="C5" t="s">
        <v>2375</v>
      </c>
    </row>
    <row r="6" spans="1:4" x14ac:dyDescent="0.2">
      <c r="A6" t="str">
        <f>CONCATENATE("catalog60_",B6)</f>
        <v>catalog60_05</v>
      </c>
      <c r="B6" t="s">
        <v>1708</v>
      </c>
      <c r="C6" t="s">
        <v>1734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Roman,Normal"&amp;12&amp;A</oddHeader>
    <oddFooter>&amp;C&amp;"Times New Roman,Normal"&amp;12Página &amp;P</oddFoot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D13"/>
  <sheetViews>
    <sheetView zoomScale="120" zoomScaleNormal="120" workbookViewId="0">
      <selection activeCell="C13" sqref="C13"/>
    </sheetView>
  </sheetViews>
  <sheetFormatPr baseColWidth="10" defaultColWidth="11.5703125" defaultRowHeight="12.75" x14ac:dyDescent="0.2"/>
  <cols>
    <col min="2" max="2" width="11.5703125" style="5"/>
  </cols>
  <sheetData>
    <row r="1" spans="1:4" x14ac:dyDescent="0.2">
      <c r="A1" t="s">
        <v>0</v>
      </c>
      <c r="B1" s="5" t="s">
        <v>1</v>
      </c>
      <c r="C1" t="s">
        <v>2</v>
      </c>
      <c r="D1" t="s">
        <v>3</v>
      </c>
    </row>
    <row r="2" spans="1:4" x14ac:dyDescent="0.2">
      <c r="A2" t="str">
        <f t="shared" ref="A2:A13" si="0">CONCATENATE("catalog61_",B2)</f>
        <v>catalog61_01</v>
      </c>
      <c r="B2" s="5" t="s">
        <v>4</v>
      </c>
      <c r="C2" t="s">
        <v>2376</v>
      </c>
    </row>
    <row r="3" spans="1:4" x14ac:dyDescent="0.2">
      <c r="A3" t="str">
        <f t="shared" si="0"/>
        <v>catalog61_03</v>
      </c>
      <c r="B3" s="5" t="s">
        <v>6</v>
      </c>
      <c r="C3" t="s">
        <v>2377</v>
      </c>
    </row>
    <row r="4" spans="1:4" x14ac:dyDescent="0.2">
      <c r="A4" t="str">
        <f t="shared" si="0"/>
        <v>catalog61_04</v>
      </c>
      <c r="B4" s="5" t="s">
        <v>1706</v>
      </c>
      <c r="C4" t="s">
        <v>2378</v>
      </c>
    </row>
    <row r="5" spans="1:4" x14ac:dyDescent="0.2">
      <c r="A5" t="str">
        <f t="shared" si="0"/>
        <v>catalog61_09</v>
      </c>
      <c r="B5" s="5" t="s">
        <v>14</v>
      </c>
      <c r="C5" t="s">
        <v>2379</v>
      </c>
    </row>
    <row r="6" spans="1:4" x14ac:dyDescent="0.2">
      <c r="A6" t="str">
        <f t="shared" si="0"/>
        <v>catalog61_12</v>
      </c>
      <c r="B6" s="5" t="s">
        <v>16</v>
      </c>
      <c r="C6" t="s">
        <v>2380</v>
      </c>
    </row>
    <row r="7" spans="1:4" x14ac:dyDescent="0.2">
      <c r="A7" t="str">
        <f t="shared" si="0"/>
        <v>catalog61_31</v>
      </c>
      <c r="B7" s="5" t="s">
        <v>31</v>
      </c>
      <c r="C7" t="s">
        <v>2381</v>
      </c>
    </row>
    <row r="8" spans="1:4" x14ac:dyDescent="0.2">
      <c r="A8" t="str">
        <f t="shared" si="0"/>
        <v>catalog61_49</v>
      </c>
      <c r="B8" s="5" t="s">
        <v>2068</v>
      </c>
      <c r="C8" t="s">
        <v>2382</v>
      </c>
    </row>
    <row r="9" spans="1:4" x14ac:dyDescent="0.2">
      <c r="A9" t="str">
        <f t="shared" si="0"/>
        <v>catalog61_50</v>
      </c>
      <c r="B9" s="5" t="s">
        <v>2070</v>
      </c>
      <c r="C9" t="s">
        <v>2383</v>
      </c>
    </row>
    <row r="10" spans="1:4" x14ac:dyDescent="0.2">
      <c r="A10" t="str">
        <f t="shared" si="0"/>
        <v>catalog61_52</v>
      </c>
      <c r="B10" s="5" t="s">
        <v>2074</v>
      </c>
      <c r="C10" t="s">
        <v>2384</v>
      </c>
    </row>
    <row r="11" spans="1:4" x14ac:dyDescent="0.2">
      <c r="A11" t="str">
        <f t="shared" si="0"/>
        <v>catalog61_80</v>
      </c>
      <c r="B11" s="5" t="s">
        <v>2385</v>
      </c>
      <c r="C11" t="s">
        <v>2386</v>
      </c>
    </row>
    <row r="12" spans="1:4" x14ac:dyDescent="0.2">
      <c r="A12" t="str">
        <f t="shared" si="0"/>
        <v>catalog61_81</v>
      </c>
      <c r="B12" s="5" t="s">
        <v>2387</v>
      </c>
      <c r="C12" t="s">
        <v>2388</v>
      </c>
    </row>
    <row r="13" spans="1:4" x14ac:dyDescent="0.2">
      <c r="A13" t="str">
        <f t="shared" si="0"/>
        <v>catalog61_82</v>
      </c>
      <c r="B13" s="5" t="s">
        <v>2389</v>
      </c>
      <c r="C13" t="s">
        <v>2390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Roman,Normal"&amp;12&amp;A</oddHeader>
    <oddFooter>&amp;C&amp;"Times New Roman,Normal"&amp;12Página &amp;P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D420"/>
  <sheetViews>
    <sheetView zoomScale="120" zoomScaleNormal="120" workbookViewId="0">
      <selection activeCell="A2" sqref="A2"/>
    </sheetView>
  </sheetViews>
  <sheetFormatPr baseColWidth="10" defaultColWidth="11.85546875" defaultRowHeight="12.75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tr">
        <f t="shared" ref="A2:A65" si="0">CONCATENATE("ciiu_",B2)</f>
        <v>ciiu_0111</v>
      </c>
      <c r="B2" t="s">
        <v>1974</v>
      </c>
      <c r="C2" t="s">
        <v>2391</v>
      </c>
    </row>
    <row r="3" spans="1:4" x14ac:dyDescent="0.2">
      <c r="A3" t="str">
        <f t="shared" si="0"/>
        <v>ciiu_0112</v>
      </c>
      <c r="B3" t="s">
        <v>1976</v>
      </c>
      <c r="C3" t="s">
        <v>2392</v>
      </c>
    </row>
    <row r="4" spans="1:4" x14ac:dyDescent="0.2">
      <c r="A4" t="str">
        <f t="shared" si="0"/>
        <v>ciiu_0113</v>
      </c>
      <c r="B4" t="s">
        <v>1979</v>
      </c>
      <c r="C4" t="s">
        <v>2393</v>
      </c>
    </row>
    <row r="5" spans="1:4" x14ac:dyDescent="0.2">
      <c r="A5" t="str">
        <f t="shared" si="0"/>
        <v>ciiu_0114</v>
      </c>
      <c r="B5" t="s">
        <v>2394</v>
      </c>
      <c r="C5" t="s">
        <v>2395</v>
      </c>
    </row>
    <row r="6" spans="1:4" x14ac:dyDescent="0.2">
      <c r="A6" t="str">
        <f t="shared" si="0"/>
        <v>ciiu_0115</v>
      </c>
      <c r="B6" t="s">
        <v>2396</v>
      </c>
      <c r="C6" t="s">
        <v>2397</v>
      </c>
    </row>
    <row r="7" spans="1:4" x14ac:dyDescent="0.2">
      <c r="A7" t="str">
        <f t="shared" si="0"/>
        <v>ciiu_0116</v>
      </c>
      <c r="B7" t="s">
        <v>2398</v>
      </c>
      <c r="C7" t="s">
        <v>2399</v>
      </c>
    </row>
    <row r="8" spans="1:4" x14ac:dyDescent="0.2">
      <c r="A8" t="str">
        <f t="shared" si="0"/>
        <v>ciiu_0119</v>
      </c>
      <c r="B8" t="s">
        <v>2400</v>
      </c>
      <c r="C8" t="s">
        <v>2401</v>
      </c>
    </row>
    <row r="9" spans="1:4" x14ac:dyDescent="0.2">
      <c r="A9" t="str">
        <f t="shared" si="0"/>
        <v>ciiu_0121</v>
      </c>
      <c r="B9" t="s">
        <v>1984</v>
      </c>
      <c r="C9" t="s">
        <v>2402</v>
      </c>
    </row>
    <row r="10" spans="1:4" x14ac:dyDescent="0.2">
      <c r="A10" t="str">
        <f t="shared" si="0"/>
        <v>ciiu_0122</v>
      </c>
      <c r="B10" t="s">
        <v>1987</v>
      </c>
      <c r="C10" t="s">
        <v>2403</v>
      </c>
    </row>
    <row r="11" spans="1:4" x14ac:dyDescent="0.2">
      <c r="A11" t="str">
        <f t="shared" si="0"/>
        <v>ciiu_0123</v>
      </c>
      <c r="B11" t="s">
        <v>2404</v>
      </c>
      <c r="C11" t="s">
        <v>2405</v>
      </c>
    </row>
    <row r="12" spans="1:4" x14ac:dyDescent="0.2">
      <c r="A12" t="str">
        <f t="shared" si="0"/>
        <v>ciiu_0124</v>
      </c>
      <c r="B12" t="s">
        <v>2406</v>
      </c>
      <c r="C12" t="s">
        <v>2407</v>
      </c>
    </row>
    <row r="13" spans="1:4" x14ac:dyDescent="0.2">
      <c r="A13" t="str">
        <f t="shared" si="0"/>
        <v>ciiu_0125</v>
      </c>
      <c r="B13" t="s">
        <v>2408</v>
      </c>
      <c r="C13" t="s">
        <v>2409</v>
      </c>
    </row>
    <row r="14" spans="1:4" x14ac:dyDescent="0.2">
      <c r="A14" t="str">
        <f t="shared" si="0"/>
        <v>ciiu_0126</v>
      </c>
      <c r="B14" t="s">
        <v>2410</v>
      </c>
      <c r="C14" t="s">
        <v>2411</v>
      </c>
    </row>
    <row r="15" spans="1:4" x14ac:dyDescent="0.2">
      <c r="A15" t="str">
        <f t="shared" si="0"/>
        <v>ciiu_0127</v>
      </c>
      <c r="B15" t="s">
        <v>2412</v>
      </c>
      <c r="C15" t="s">
        <v>2413</v>
      </c>
    </row>
    <row r="16" spans="1:4" x14ac:dyDescent="0.2">
      <c r="A16" t="str">
        <f t="shared" si="0"/>
        <v>ciiu_0128</v>
      </c>
      <c r="B16" t="s">
        <v>2414</v>
      </c>
      <c r="C16" t="s">
        <v>2415</v>
      </c>
    </row>
    <row r="17" spans="1:3" x14ac:dyDescent="0.2">
      <c r="A17" t="str">
        <f t="shared" si="0"/>
        <v>ciiu_0129</v>
      </c>
      <c r="B17" t="s">
        <v>2416</v>
      </c>
      <c r="C17" t="s">
        <v>2401</v>
      </c>
    </row>
    <row r="18" spans="1:3" x14ac:dyDescent="0.2">
      <c r="A18" t="str">
        <f t="shared" si="0"/>
        <v>ciiu_0130</v>
      </c>
      <c r="B18" t="s">
        <v>1989</v>
      </c>
      <c r="C18" t="s">
        <v>2417</v>
      </c>
    </row>
    <row r="19" spans="1:3" x14ac:dyDescent="0.2">
      <c r="A19" t="str">
        <f t="shared" si="0"/>
        <v>ciiu_0141</v>
      </c>
      <c r="B19" t="s">
        <v>2418</v>
      </c>
      <c r="C19" t="s">
        <v>2419</v>
      </c>
    </row>
    <row r="20" spans="1:3" x14ac:dyDescent="0.2">
      <c r="A20" t="str">
        <f t="shared" si="0"/>
        <v>ciiu_0142</v>
      </c>
      <c r="B20" t="s">
        <v>2420</v>
      </c>
      <c r="C20" t="s">
        <v>2421</v>
      </c>
    </row>
    <row r="21" spans="1:3" x14ac:dyDescent="0.2">
      <c r="A21" t="str">
        <f t="shared" si="0"/>
        <v>ciiu_0143</v>
      </c>
      <c r="B21" t="s">
        <v>2422</v>
      </c>
      <c r="C21" t="s">
        <v>2423</v>
      </c>
    </row>
    <row r="22" spans="1:3" x14ac:dyDescent="0.2">
      <c r="A22" t="str">
        <f t="shared" si="0"/>
        <v>ciiu_0144</v>
      </c>
      <c r="B22" t="s">
        <v>2424</v>
      </c>
      <c r="C22" t="s">
        <v>2425</v>
      </c>
    </row>
    <row r="23" spans="1:3" x14ac:dyDescent="0.2">
      <c r="A23" t="str">
        <f t="shared" si="0"/>
        <v>ciiu_0145</v>
      </c>
      <c r="B23" t="s">
        <v>2426</v>
      </c>
      <c r="C23" t="s">
        <v>2427</v>
      </c>
    </row>
    <row r="24" spans="1:3" x14ac:dyDescent="0.2">
      <c r="A24" t="str">
        <f t="shared" si="0"/>
        <v>ciiu_0146</v>
      </c>
      <c r="B24" t="s">
        <v>2428</v>
      </c>
      <c r="C24" t="s">
        <v>2429</v>
      </c>
    </row>
    <row r="25" spans="1:3" x14ac:dyDescent="0.2">
      <c r="A25" t="str">
        <f t="shared" si="0"/>
        <v>ciiu_0149</v>
      </c>
      <c r="B25" t="s">
        <v>2430</v>
      </c>
      <c r="C25" t="s">
        <v>2431</v>
      </c>
    </row>
    <row r="26" spans="1:3" x14ac:dyDescent="0.2">
      <c r="A26" t="str">
        <f t="shared" si="0"/>
        <v>ciiu_0150</v>
      </c>
      <c r="B26" t="s">
        <v>2432</v>
      </c>
      <c r="C26" t="s">
        <v>2433</v>
      </c>
    </row>
    <row r="27" spans="1:3" x14ac:dyDescent="0.2">
      <c r="A27" t="str">
        <f t="shared" si="0"/>
        <v>ciiu_0161</v>
      </c>
      <c r="B27" t="s">
        <v>2434</v>
      </c>
      <c r="C27" t="s">
        <v>2435</v>
      </c>
    </row>
    <row r="28" spans="1:3" x14ac:dyDescent="0.2">
      <c r="A28" t="str">
        <f t="shared" si="0"/>
        <v>ciiu_0162</v>
      </c>
      <c r="B28" t="s">
        <v>2436</v>
      </c>
      <c r="C28" t="s">
        <v>2437</v>
      </c>
    </row>
    <row r="29" spans="1:3" x14ac:dyDescent="0.2">
      <c r="A29" t="str">
        <f t="shared" si="0"/>
        <v>ciiu_0163</v>
      </c>
      <c r="B29" t="s">
        <v>2438</v>
      </c>
      <c r="C29" t="s">
        <v>2439</v>
      </c>
    </row>
    <row r="30" spans="1:3" x14ac:dyDescent="0.2">
      <c r="A30" t="str">
        <f t="shared" si="0"/>
        <v>ciiu_0164</v>
      </c>
      <c r="B30" t="s">
        <v>2440</v>
      </c>
      <c r="C30" t="s">
        <v>2441</v>
      </c>
    </row>
    <row r="31" spans="1:3" x14ac:dyDescent="0.2">
      <c r="A31" t="str">
        <f t="shared" si="0"/>
        <v>ciiu_0170</v>
      </c>
      <c r="B31" t="s">
        <v>2442</v>
      </c>
      <c r="C31" t="s">
        <v>2443</v>
      </c>
    </row>
    <row r="32" spans="1:3" x14ac:dyDescent="0.2">
      <c r="A32" t="str">
        <f t="shared" si="0"/>
        <v>ciiu_0210</v>
      </c>
      <c r="B32" t="s">
        <v>2444</v>
      </c>
      <c r="C32" t="s">
        <v>2445</v>
      </c>
    </row>
    <row r="33" spans="1:3" x14ac:dyDescent="0.2">
      <c r="A33" t="str">
        <f t="shared" si="0"/>
        <v>ciiu_0220</v>
      </c>
      <c r="B33" t="s">
        <v>2446</v>
      </c>
      <c r="C33" t="s">
        <v>2447</v>
      </c>
    </row>
    <row r="34" spans="1:3" x14ac:dyDescent="0.2">
      <c r="A34" t="str">
        <f t="shared" si="0"/>
        <v>ciiu_0230</v>
      </c>
      <c r="B34" t="s">
        <v>2448</v>
      </c>
      <c r="C34" t="s">
        <v>2449</v>
      </c>
    </row>
    <row r="35" spans="1:3" x14ac:dyDescent="0.2">
      <c r="A35" t="str">
        <f t="shared" si="0"/>
        <v>ciiu_0240</v>
      </c>
      <c r="B35" t="s">
        <v>2450</v>
      </c>
      <c r="C35" t="s">
        <v>2451</v>
      </c>
    </row>
    <row r="36" spans="1:3" x14ac:dyDescent="0.2">
      <c r="A36" t="str">
        <f t="shared" si="0"/>
        <v>ciiu_0311</v>
      </c>
      <c r="B36" t="s">
        <v>2452</v>
      </c>
      <c r="C36" t="s">
        <v>2453</v>
      </c>
    </row>
    <row r="37" spans="1:3" x14ac:dyDescent="0.2">
      <c r="A37" t="str">
        <f t="shared" si="0"/>
        <v>ciiu_0312</v>
      </c>
      <c r="B37" t="s">
        <v>2454</v>
      </c>
      <c r="C37" t="s">
        <v>2455</v>
      </c>
    </row>
    <row r="38" spans="1:3" x14ac:dyDescent="0.2">
      <c r="A38" t="str">
        <f t="shared" si="0"/>
        <v>ciiu_0321</v>
      </c>
      <c r="B38" t="s">
        <v>2456</v>
      </c>
      <c r="C38" t="s">
        <v>2457</v>
      </c>
    </row>
    <row r="39" spans="1:3" x14ac:dyDescent="0.2">
      <c r="A39" t="str">
        <f t="shared" si="0"/>
        <v>ciiu_0322</v>
      </c>
      <c r="B39" t="s">
        <v>2458</v>
      </c>
      <c r="C39" t="s">
        <v>2459</v>
      </c>
    </row>
    <row r="40" spans="1:3" x14ac:dyDescent="0.2">
      <c r="A40" t="str">
        <f t="shared" si="0"/>
        <v>ciiu_0510</v>
      </c>
      <c r="B40" t="s">
        <v>2460</v>
      </c>
      <c r="C40" t="s">
        <v>2461</v>
      </c>
    </row>
    <row r="41" spans="1:3" x14ac:dyDescent="0.2">
      <c r="A41" t="str">
        <f t="shared" si="0"/>
        <v>ciiu_0520</v>
      </c>
      <c r="B41" t="s">
        <v>2462</v>
      </c>
      <c r="C41" t="s">
        <v>2463</v>
      </c>
    </row>
    <row r="42" spans="1:3" x14ac:dyDescent="0.2">
      <c r="A42" t="str">
        <f t="shared" si="0"/>
        <v>ciiu_0610</v>
      </c>
      <c r="B42" t="s">
        <v>2464</v>
      </c>
      <c r="C42" t="s">
        <v>2465</v>
      </c>
    </row>
    <row r="43" spans="1:3" x14ac:dyDescent="0.2">
      <c r="A43" t="str">
        <f t="shared" si="0"/>
        <v>ciiu_0620</v>
      </c>
      <c r="B43" t="s">
        <v>2466</v>
      </c>
      <c r="C43" t="s">
        <v>2467</v>
      </c>
    </row>
    <row r="44" spans="1:3" x14ac:dyDescent="0.2">
      <c r="A44" t="str">
        <f t="shared" si="0"/>
        <v>ciiu_0710</v>
      </c>
      <c r="B44" t="s">
        <v>2468</v>
      </c>
      <c r="C44" t="s">
        <v>2469</v>
      </c>
    </row>
    <row r="45" spans="1:3" x14ac:dyDescent="0.2">
      <c r="A45" t="str">
        <f t="shared" si="0"/>
        <v>ciiu_0721</v>
      </c>
      <c r="B45" t="s">
        <v>2470</v>
      </c>
      <c r="C45" t="s">
        <v>2471</v>
      </c>
    </row>
    <row r="46" spans="1:3" x14ac:dyDescent="0.2">
      <c r="A46" t="str">
        <f t="shared" si="0"/>
        <v>ciiu_0729</v>
      </c>
      <c r="B46" t="s">
        <v>2472</v>
      </c>
      <c r="C46" t="s">
        <v>2473</v>
      </c>
    </row>
    <row r="47" spans="1:3" x14ac:dyDescent="0.2">
      <c r="A47" t="str">
        <f t="shared" si="0"/>
        <v>ciiu_0810</v>
      </c>
      <c r="B47" t="s">
        <v>2474</v>
      </c>
      <c r="C47" t="s">
        <v>2475</v>
      </c>
    </row>
    <row r="48" spans="1:3" x14ac:dyDescent="0.2">
      <c r="A48" t="str">
        <f t="shared" si="0"/>
        <v>ciiu_0891</v>
      </c>
      <c r="B48" t="s">
        <v>2476</v>
      </c>
      <c r="C48" t="s">
        <v>2477</v>
      </c>
    </row>
    <row r="49" spans="1:3" x14ac:dyDescent="0.2">
      <c r="A49" t="str">
        <f t="shared" si="0"/>
        <v>ciiu_0892</v>
      </c>
      <c r="B49" t="s">
        <v>2478</v>
      </c>
      <c r="C49" t="s">
        <v>2479</v>
      </c>
    </row>
    <row r="50" spans="1:3" x14ac:dyDescent="0.2">
      <c r="A50" t="str">
        <f t="shared" si="0"/>
        <v>ciiu_0893</v>
      </c>
      <c r="B50" t="s">
        <v>2480</v>
      </c>
      <c r="C50" t="s">
        <v>2481</v>
      </c>
    </row>
    <row r="51" spans="1:3" x14ac:dyDescent="0.2">
      <c r="A51" t="str">
        <f t="shared" si="0"/>
        <v>ciiu_0899</v>
      </c>
      <c r="B51" t="s">
        <v>2482</v>
      </c>
      <c r="C51" t="s">
        <v>2483</v>
      </c>
    </row>
    <row r="52" spans="1:3" x14ac:dyDescent="0.2">
      <c r="A52" t="str">
        <f t="shared" si="0"/>
        <v>ciiu_0910</v>
      </c>
      <c r="B52" t="s">
        <v>2484</v>
      </c>
      <c r="C52" t="s">
        <v>2485</v>
      </c>
    </row>
    <row r="53" spans="1:3" x14ac:dyDescent="0.2">
      <c r="A53" t="str">
        <f t="shared" si="0"/>
        <v>ciiu_0990</v>
      </c>
      <c r="B53" t="s">
        <v>2486</v>
      </c>
      <c r="C53" t="s">
        <v>2487</v>
      </c>
    </row>
    <row r="54" spans="1:3" x14ac:dyDescent="0.2">
      <c r="A54" t="str">
        <f t="shared" si="0"/>
        <v>ciiu_1010</v>
      </c>
      <c r="B54" t="s">
        <v>2488</v>
      </c>
      <c r="C54" t="s">
        <v>2489</v>
      </c>
    </row>
    <row r="55" spans="1:3" x14ac:dyDescent="0.2">
      <c r="A55" t="str">
        <f t="shared" si="0"/>
        <v>ciiu_1020</v>
      </c>
      <c r="B55" t="s">
        <v>2490</v>
      </c>
      <c r="C55" t="s">
        <v>2491</v>
      </c>
    </row>
    <row r="56" spans="1:3" x14ac:dyDescent="0.2">
      <c r="A56" t="str">
        <f t="shared" si="0"/>
        <v>ciiu_1030</v>
      </c>
      <c r="B56" t="s">
        <v>2492</v>
      </c>
      <c r="C56" t="s">
        <v>2493</v>
      </c>
    </row>
    <row r="57" spans="1:3" x14ac:dyDescent="0.2">
      <c r="A57" t="str">
        <f t="shared" si="0"/>
        <v>ciiu_1040</v>
      </c>
      <c r="B57" t="s">
        <v>2494</v>
      </c>
      <c r="C57" t="s">
        <v>2495</v>
      </c>
    </row>
    <row r="58" spans="1:3" x14ac:dyDescent="0.2">
      <c r="A58" t="str">
        <f t="shared" si="0"/>
        <v>ciiu_1050</v>
      </c>
      <c r="B58" t="s">
        <v>2496</v>
      </c>
      <c r="C58" t="s">
        <v>2497</v>
      </c>
    </row>
    <row r="59" spans="1:3" x14ac:dyDescent="0.2">
      <c r="A59" t="str">
        <f t="shared" si="0"/>
        <v>ciiu_1061</v>
      </c>
      <c r="B59" t="s">
        <v>2498</v>
      </c>
      <c r="C59" t="s">
        <v>2499</v>
      </c>
    </row>
    <row r="60" spans="1:3" x14ac:dyDescent="0.2">
      <c r="A60" t="str">
        <f t="shared" si="0"/>
        <v>ciiu_1062</v>
      </c>
      <c r="B60" t="s">
        <v>2500</v>
      </c>
      <c r="C60" t="s">
        <v>2501</v>
      </c>
    </row>
    <row r="61" spans="1:3" x14ac:dyDescent="0.2">
      <c r="A61" t="str">
        <f t="shared" si="0"/>
        <v>ciiu_1071</v>
      </c>
      <c r="B61" t="s">
        <v>2502</v>
      </c>
      <c r="C61" t="s">
        <v>2503</v>
      </c>
    </row>
    <row r="62" spans="1:3" x14ac:dyDescent="0.2">
      <c r="A62" t="str">
        <f t="shared" si="0"/>
        <v>ciiu_1072</v>
      </c>
      <c r="B62" t="s">
        <v>2504</v>
      </c>
      <c r="C62" t="s">
        <v>2505</v>
      </c>
    </row>
    <row r="63" spans="1:3" x14ac:dyDescent="0.2">
      <c r="A63" t="str">
        <f t="shared" si="0"/>
        <v>ciiu_1073</v>
      </c>
      <c r="B63" t="s">
        <v>2506</v>
      </c>
      <c r="C63" t="s">
        <v>2507</v>
      </c>
    </row>
    <row r="64" spans="1:3" x14ac:dyDescent="0.2">
      <c r="A64" t="str">
        <f t="shared" si="0"/>
        <v>ciiu_1074</v>
      </c>
      <c r="B64" t="s">
        <v>2508</v>
      </c>
      <c r="C64" t="s">
        <v>2509</v>
      </c>
    </row>
    <row r="65" spans="1:3" x14ac:dyDescent="0.2">
      <c r="A65" t="str">
        <f t="shared" si="0"/>
        <v>ciiu_1075</v>
      </c>
      <c r="B65" t="s">
        <v>2510</v>
      </c>
      <c r="C65" t="s">
        <v>2511</v>
      </c>
    </row>
    <row r="66" spans="1:3" x14ac:dyDescent="0.2">
      <c r="A66" t="str">
        <f t="shared" ref="A66:A129" si="1">CONCATENATE("ciiu_",B66)</f>
        <v>ciiu_1079</v>
      </c>
      <c r="B66" t="s">
        <v>2512</v>
      </c>
      <c r="C66" t="s">
        <v>2513</v>
      </c>
    </row>
    <row r="67" spans="1:3" x14ac:dyDescent="0.2">
      <c r="A67" t="str">
        <f t="shared" si="1"/>
        <v>ciiu_1080</v>
      </c>
      <c r="B67" t="s">
        <v>2514</v>
      </c>
      <c r="C67" t="s">
        <v>2515</v>
      </c>
    </row>
    <row r="68" spans="1:3" x14ac:dyDescent="0.2">
      <c r="A68" t="str">
        <f t="shared" si="1"/>
        <v>ciiu_1101</v>
      </c>
      <c r="B68" t="s">
        <v>2516</v>
      </c>
      <c r="C68" t="s">
        <v>2517</v>
      </c>
    </row>
    <row r="69" spans="1:3" x14ac:dyDescent="0.2">
      <c r="A69" t="str">
        <f t="shared" si="1"/>
        <v>ciiu_1102</v>
      </c>
      <c r="B69" t="s">
        <v>2518</v>
      </c>
      <c r="C69" t="s">
        <v>2519</v>
      </c>
    </row>
    <row r="70" spans="1:3" x14ac:dyDescent="0.2">
      <c r="A70" t="str">
        <f t="shared" si="1"/>
        <v>ciiu_1103</v>
      </c>
      <c r="B70" t="s">
        <v>2520</v>
      </c>
      <c r="C70" t="s">
        <v>2521</v>
      </c>
    </row>
    <row r="71" spans="1:3" x14ac:dyDescent="0.2">
      <c r="A71" t="str">
        <f t="shared" si="1"/>
        <v>ciiu_1104</v>
      </c>
      <c r="B71" t="s">
        <v>2522</v>
      </c>
      <c r="C71" t="s">
        <v>2523</v>
      </c>
    </row>
    <row r="72" spans="1:3" x14ac:dyDescent="0.2">
      <c r="A72" t="str">
        <f t="shared" si="1"/>
        <v>ciiu_1200</v>
      </c>
      <c r="B72" t="s">
        <v>2524</v>
      </c>
      <c r="C72" t="s">
        <v>2525</v>
      </c>
    </row>
    <row r="73" spans="1:3" x14ac:dyDescent="0.2">
      <c r="A73" t="str">
        <f t="shared" si="1"/>
        <v>ciiu_1311</v>
      </c>
      <c r="B73" t="s">
        <v>2526</v>
      </c>
      <c r="C73" t="s">
        <v>2527</v>
      </c>
    </row>
    <row r="74" spans="1:3" x14ac:dyDescent="0.2">
      <c r="A74" t="str">
        <f t="shared" si="1"/>
        <v>ciiu_1312</v>
      </c>
      <c r="B74" t="s">
        <v>2528</v>
      </c>
      <c r="C74" t="s">
        <v>2529</v>
      </c>
    </row>
    <row r="75" spans="1:3" x14ac:dyDescent="0.2">
      <c r="A75" t="str">
        <f t="shared" si="1"/>
        <v>ciiu_1313</v>
      </c>
      <c r="B75" t="s">
        <v>2530</v>
      </c>
      <c r="C75" t="s">
        <v>2531</v>
      </c>
    </row>
    <row r="76" spans="1:3" x14ac:dyDescent="0.2">
      <c r="A76" t="str">
        <f t="shared" si="1"/>
        <v>ciiu_1391</v>
      </c>
      <c r="B76" t="s">
        <v>2532</v>
      </c>
      <c r="C76" t="s">
        <v>2533</v>
      </c>
    </row>
    <row r="77" spans="1:3" x14ac:dyDescent="0.2">
      <c r="A77" t="str">
        <f t="shared" si="1"/>
        <v>ciiu_1392</v>
      </c>
      <c r="B77" t="s">
        <v>2534</v>
      </c>
      <c r="C77" t="s">
        <v>2535</v>
      </c>
    </row>
    <row r="78" spans="1:3" x14ac:dyDescent="0.2">
      <c r="A78" t="str">
        <f t="shared" si="1"/>
        <v>ciiu_1393</v>
      </c>
      <c r="B78" t="s">
        <v>2536</v>
      </c>
      <c r="C78" t="s">
        <v>2537</v>
      </c>
    </row>
    <row r="79" spans="1:3" x14ac:dyDescent="0.2">
      <c r="A79" t="str">
        <f t="shared" si="1"/>
        <v>ciiu_1394</v>
      </c>
      <c r="B79" t="s">
        <v>2538</v>
      </c>
      <c r="C79" t="s">
        <v>2539</v>
      </c>
    </row>
    <row r="80" spans="1:3" x14ac:dyDescent="0.2">
      <c r="A80" t="str">
        <f t="shared" si="1"/>
        <v>ciiu_1399</v>
      </c>
      <c r="B80" t="s">
        <v>2540</v>
      </c>
      <c r="C80" t="s">
        <v>2541</v>
      </c>
    </row>
    <row r="81" spans="1:3" x14ac:dyDescent="0.2">
      <c r="A81" t="str">
        <f t="shared" si="1"/>
        <v>ciiu_1410</v>
      </c>
      <c r="B81" t="s">
        <v>2542</v>
      </c>
      <c r="C81" t="s">
        <v>2543</v>
      </c>
    </row>
    <row r="82" spans="1:3" x14ac:dyDescent="0.2">
      <c r="A82" t="str">
        <f t="shared" si="1"/>
        <v>ciiu_1420</v>
      </c>
      <c r="B82" t="s">
        <v>2544</v>
      </c>
      <c r="C82" t="s">
        <v>2545</v>
      </c>
    </row>
    <row r="83" spans="1:3" x14ac:dyDescent="0.2">
      <c r="A83" t="str">
        <f t="shared" si="1"/>
        <v>ciiu_1430</v>
      </c>
      <c r="B83" t="s">
        <v>2546</v>
      </c>
      <c r="C83" t="s">
        <v>2547</v>
      </c>
    </row>
    <row r="84" spans="1:3" x14ac:dyDescent="0.2">
      <c r="A84" t="str">
        <f t="shared" si="1"/>
        <v>ciiu_1511</v>
      </c>
      <c r="B84" t="s">
        <v>2548</v>
      </c>
      <c r="C84" t="s">
        <v>2549</v>
      </c>
    </row>
    <row r="85" spans="1:3" x14ac:dyDescent="0.2">
      <c r="A85" t="str">
        <f t="shared" si="1"/>
        <v>ciiu_1512</v>
      </c>
      <c r="B85" t="s">
        <v>2550</v>
      </c>
      <c r="C85" t="s">
        <v>2551</v>
      </c>
    </row>
    <row r="86" spans="1:3" x14ac:dyDescent="0.2">
      <c r="A86" t="str">
        <f t="shared" si="1"/>
        <v>ciiu_1520</v>
      </c>
      <c r="B86" t="s">
        <v>2552</v>
      </c>
      <c r="C86" t="s">
        <v>2553</v>
      </c>
    </row>
    <row r="87" spans="1:3" x14ac:dyDescent="0.2">
      <c r="A87" t="str">
        <f t="shared" si="1"/>
        <v>ciiu_1610</v>
      </c>
      <c r="B87" t="s">
        <v>2554</v>
      </c>
      <c r="C87" t="s">
        <v>2555</v>
      </c>
    </row>
    <row r="88" spans="1:3" x14ac:dyDescent="0.2">
      <c r="A88" t="str">
        <f t="shared" si="1"/>
        <v>ciiu_1621</v>
      </c>
      <c r="B88" t="s">
        <v>2556</v>
      </c>
      <c r="C88" t="s">
        <v>2557</v>
      </c>
    </row>
    <row r="89" spans="1:3" x14ac:dyDescent="0.2">
      <c r="A89" t="str">
        <f t="shared" si="1"/>
        <v>ciiu_1622</v>
      </c>
      <c r="B89" t="s">
        <v>2558</v>
      </c>
      <c r="C89" t="s">
        <v>2559</v>
      </c>
    </row>
    <row r="90" spans="1:3" x14ac:dyDescent="0.2">
      <c r="A90" t="str">
        <f t="shared" si="1"/>
        <v>ciiu_1623</v>
      </c>
      <c r="B90" t="s">
        <v>2560</v>
      </c>
      <c r="C90" t="s">
        <v>2561</v>
      </c>
    </row>
    <row r="91" spans="1:3" x14ac:dyDescent="0.2">
      <c r="A91" t="str">
        <f t="shared" si="1"/>
        <v>ciiu_1629</v>
      </c>
      <c r="B91" t="s">
        <v>2562</v>
      </c>
      <c r="C91" t="s">
        <v>2563</v>
      </c>
    </row>
    <row r="92" spans="1:3" x14ac:dyDescent="0.2">
      <c r="A92" t="str">
        <f t="shared" si="1"/>
        <v>ciiu_1701</v>
      </c>
      <c r="B92" t="s">
        <v>2564</v>
      </c>
      <c r="C92" t="s">
        <v>2565</v>
      </c>
    </row>
    <row r="93" spans="1:3" x14ac:dyDescent="0.2">
      <c r="A93" t="str">
        <f t="shared" si="1"/>
        <v>ciiu_1702</v>
      </c>
      <c r="B93" t="s">
        <v>2566</v>
      </c>
      <c r="C93" t="s">
        <v>2567</v>
      </c>
    </row>
    <row r="94" spans="1:3" x14ac:dyDescent="0.2">
      <c r="A94" t="str">
        <f t="shared" si="1"/>
        <v>ciiu_1709</v>
      </c>
      <c r="B94" t="s">
        <v>2568</v>
      </c>
      <c r="C94" t="s">
        <v>2569</v>
      </c>
    </row>
    <row r="95" spans="1:3" x14ac:dyDescent="0.2">
      <c r="A95" t="str">
        <f t="shared" si="1"/>
        <v>ciiu_1811</v>
      </c>
      <c r="B95" t="s">
        <v>2570</v>
      </c>
      <c r="C95" t="s">
        <v>2571</v>
      </c>
    </row>
    <row r="96" spans="1:3" x14ac:dyDescent="0.2">
      <c r="A96" t="str">
        <f t="shared" si="1"/>
        <v>ciiu_1812</v>
      </c>
      <c r="B96" t="s">
        <v>2572</v>
      </c>
      <c r="C96" t="s">
        <v>2573</v>
      </c>
    </row>
    <row r="97" spans="1:3" x14ac:dyDescent="0.2">
      <c r="A97" t="str">
        <f t="shared" si="1"/>
        <v>ciiu_1820</v>
      </c>
      <c r="B97" t="s">
        <v>2574</v>
      </c>
      <c r="C97" t="s">
        <v>2575</v>
      </c>
    </row>
    <row r="98" spans="1:3" x14ac:dyDescent="0.2">
      <c r="A98" t="str">
        <f t="shared" si="1"/>
        <v>ciiu_1910</v>
      </c>
      <c r="B98" t="s">
        <v>2576</v>
      </c>
      <c r="C98" t="s">
        <v>2577</v>
      </c>
    </row>
    <row r="99" spans="1:3" x14ac:dyDescent="0.2">
      <c r="A99" t="str">
        <f t="shared" si="1"/>
        <v>ciiu_1920</v>
      </c>
      <c r="B99" t="s">
        <v>2578</v>
      </c>
      <c r="C99" t="s">
        <v>2579</v>
      </c>
    </row>
    <row r="100" spans="1:3" x14ac:dyDescent="0.2">
      <c r="A100" t="str">
        <f t="shared" si="1"/>
        <v>ciiu_2011</v>
      </c>
      <c r="B100" t="s">
        <v>2046</v>
      </c>
      <c r="C100" t="s">
        <v>2580</v>
      </c>
    </row>
    <row r="101" spans="1:3" x14ac:dyDescent="0.2">
      <c r="A101" t="str">
        <f t="shared" si="1"/>
        <v>ciiu_2012</v>
      </c>
      <c r="B101" t="s">
        <v>2581</v>
      </c>
      <c r="C101" t="s">
        <v>2582</v>
      </c>
    </row>
    <row r="102" spans="1:3" x14ac:dyDescent="0.2">
      <c r="A102" t="str">
        <f t="shared" si="1"/>
        <v>ciiu_2013</v>
      </c>
      <c r="B102" t="s">
        <v>2583</v>
      </c>
      <c r="C102" t="s">
        <v>2584</v>
      </c>
    </row>
    <row r="103" spans="1:3" x14ac:dyDescent="0.2">
      <c r="A103" t="str">
        <f t="shared" si="1"/>
        <v>ciiu_2021</v>
      </c>
      <c r="B103" t="s">
        <v>2585</v>
      </c>
      <c r="C103" t="s">
        <v>2586</v>
      </c>
    </row>
    <row r="104" spans="1:3" x14ac:dyDescent="0.2">
      <c r="A104" t="str">
        <f t="shared" si="1"/>
        <v>ciiu_2022</v>
      </c>
      <c r="B104" t="s">
        <v>2587</v>
      </c>
      <c r="C104" t="s">
        <v>2588</v>
      </c>
    </row>
    <row r="105" spans="1:3" x14ac:dyDescent="0.2">
      <c r="A105" t="str">
        <f t="shared" si="1"/>
        <v>ciiu_2023</v>
      </c>
      <c r="B105" t="s">
        <v>2589</v>
      </c>
      <c r="C105" t="s">
        <v>2590</v>
      </c>
    </row>
    <row r="106" spans="1:3" x14ac:dyDescent="0.2">
      <c r="A106" t="str">
        <f t="shared" si="1"/>
        <v>ciiu_2029</v>
      </c>
      <c r="B106" t="s">
        <v>2591</v>
      </c>
      <c r="C106" t="s">
        <v>2592</v>
      </c>
    </row>
    <row r="107" spans="1:3" x14ac:dyDescent="0.2">
      <c r="A107" t="str">
        <f t="shared" si="1"/>
        <v>ciiu_2030</v>
      </c>
      <c r="B107" t="s">
        <v>2593</v>
      </c>
      <c r="C107" t="s">
        <v>2594</v>
      </c>
    </row>
    <row r="108" spans="1:3" x14ac:dyDescent="0.2">
      <c r="A108" t="str">
        <f t="shared" si="1"/>
        <v>ciiu_2100</v>
      </c>
      <c r="B108" t="s">
        <v>2023</v>
      </c>
      <c r="C108" t="s">
        <v>2595</v>
      </c>
    </row>
    <row r="109" spans="1:3" x14ac:dyDescent="0.2">
      <c r="A109" t="str">
        <f t="shared" si="1"/>
        <v>ciiu_2211</v>
      </c>
      <c r="B109" t="s">
        <v>2596</v>
      </c>
      <c r="C109" t="s">
        <v>2597</v>
      </c>
    </row>
    <row r="110" spans="1:3" x14ac:dyDescent="0.2">
      <c r="A110" t="str">
        <f t="shared" si="1"/>
        <v>ciiu_2219</v>
      </c>
      <c r="B110" t="s">
        <v>2598</v>
      </c>
      <c r="C110" t="s">
        <v>2599</v>
      </c>
    </row>
    <row r="111" spans="1:3" x14ac:dyDescent="0.2">
      <c r="A111" t="str">
        <f t="shared" si="1"/>
        <v>ciiu_2220</v>
      </c>
      <c r="B111" t="s">
        <v>2600</v>
      </c>
      <c r="C111" t="s">
        <v>2601</v>
      </c>
    </row>
    <row r="112" spans="1:3" x14ac:dyDescent="0.2">
      <c r="A112" t="str">
        <f t="shared" si="1"/>
        <v>ciiu_2310</v>
      </c>
      <c r="B112" t="s">
        <v>2602</v>
      </c>
      <c r="C112" t="s">
        <v>2603</v>
      </c>
    </row>
    <row r="113" spans="1:3" x14ac:dyDescent="0.2">
      <c r="A113" t="str">
        <f t="shared" si="1"/>
        <v>ciiu_2391</v>
      </c>
      <c r="B113" t="s">
        <v>2604</v>
      </c>
      <c r="C113" t="s">
        <v>2605</v>
      </c>
    </row>
    <row r="114" spans="1:3" x14ac:dyDescent="0.2">
      <c r="A114" t="str">
        <f t="shared" si="1"/>
        <v>ciiu_2392</v>
      </c>
      <c r="B114" t="s">
        <v>2606</v>
      </c>
      <c r="C114" t="s">
        <v>2607</v>
      </c>
    </row>
    <row r="115" spans="1:3" x14ac:dyDescent="0.2">
      <c r="A115" t="str">
        <f t="shared" si="1"/>
        <v>ciiu_2393</v>
      </c>
      <c r="B115" t="s">
        <v>2608</v>
      </c>
      <c r="C115" t="s">
        <v>2609</v>
      </c>
    </row>
    <row r="116" spans="1:3" x14ac:dyDescent="0.2">
      <c r="A116" t="str">
        <f t="shared" si="1"/>
        <v>ciiu_2394</v>
      </c>
      <c r="B116" t="s">
        <v>2610</v>
      </c>
      <c r="C116" t="s">
        <v>2611</v>
      </c>
    </row>
    <row r="117" spans="1:3" x14ac:dyDescent="0.2">
      <c r="A117" t="str">
        <f t="shared" si="1"/>
        <v>ciiu_2395</v>
      </c>
      <c r="B117" t="s">
        <v>2612</v>
      </c>
      <c r="C117" t="s">
        <v>2613</v>
      </c>
    </row>
    <row r="118" spans="1:3" x14ac:dyDescent="0.2">
      <c r="A118" t="str">
        <f t="shared" si="1"/>
        <v>ciiu_2396</v>
      </c>
      <c r="B118" t="s">
        <v>2614</v>
      </c>
      <c r="C118" t="s">
        <v>2615</v>
      </c>
    </row>
    <row r="119" spans="1:3" x14ac:dyDescent="0.2">
      <c r="A119" t="str">
        <f t="shared" si="1"/>
        <v>ciiu_2399</v>
      </c>
      <c r="B119" t="s">
        <v>2616</v>
      </c>
      <c r="C119" t="s">
        <v>2617</v>
      </c>
    </row>
    <row r="120" spans="1:3" x14ac:dyDescent="0.2">
      <c r="A120" t="str">
        <f t="shared" si="1"/>
        <v>ciiu_2410</v>
      </c>
      <c r="B120" t="s">
        <v>2618</v>
      </c>
      <c r="C120" t="s">
        <v>2619</v>
      </c>
    </row>
    <row r="121" spans="1:3" x14ac:dyDescent="0.2">
      <c r="A121" t="str">
        <f t="shared" si="1"/>
        <v>ciiu_2420</v>
      </c>
      <c r="B121" t="s">
        <v>2620</v>
      </c>
      <c r="C121" t="s">
        <v>2621</v>
      </c>
    </row>
    <row r="122" spans="1:3" x14ac:dyDescent="0.2">
      <c r="A122" t="str">
        <f t="shared" si="1"/>
        <v>ciiu_2431</v>
      </c>
      <c r="B122" t="s">
        <v>2622</v>
      </c>
      <c r="C122" t="s">
        <v>2623</v>
      </c>
    </row>
    <row r="123" spans="1:3" x14ac:dyDescent="0.2">
      <c r="A123" t="str">
        <f t="shared" si="1"/>
        <v>ciiu_2432</v>
      </c>
      <c r="B123" t="s">
        <v>2624</v>
      </c>
      <c r="C123" t="s">
        <v>2625</v>
      </c>
    </row>
    <row r="124" spans="1:3" x14ac:dyDescent="0.2">
      <c r="A124" t="str">
        <f t="shared" si="1"/>
        <v>ciiu_2511</v>
      </c>
      <c r="B124" t="s">
        <v>2626</v>
      </c>
      <c r="C124" t="s">
        <v>2627</v>
      </c>
    </row>
    <row r="125" spans="1:3" x14ac:dyDescent="0.2">
      <c r="A125" t="str">
        <f t="shared" si="1"/>
        <v>ciiu_2512</v>
      </c>
      <c r="B125" t="s">
        <v>2628</v>
      </c>
      <c r="C125" t="s">
        <v>2629</v>
      </c>
    </row>
    <row r="126" spans="1:3" x14ac:dyDescent="0.2">
      <c r="A126" t="str">
        <f t="shared" si="1"/>
        <v>ciiu_2513</v>
      </c>
      <c r="B126" t="s">
        <v>2630</v>
      </c>
      <c r="C126" t="s">
        <v>2631</v>
      </c>
    </row>
    <row r="127" spans="1:3" x14ac:dyDescent="0.2">
      <c r="A127" t="str">
        <f t="shared" si="1"/>
        <v>ciiu_2520</v>
      </c>
      <c r="B127" t="s">
        <v>2632</v>
      </c>
      <c r="C127" t="s">
        <v>2633</v>
      </c>
    </row>
    <row r="128" spans="1:3" x14ac:dyDescent="0.2">
      <c r="A128" t="str">
        <f t="shared" si="1"/>
        <v>ciiu_2591</v>
      </c>
      <c r="B128" t="s">
        <v>2634</v>
      </c>
      <c r="C128" t="s">
        <v>2635</v>
      </c>
    </row>
    <row r="129" spans="1:3" x14ac:dyDescent="0.2">
      <c r="A129" t="str">
        <f t="shared" si="1"/>
        <v>ciiu_2592</v>
      </c>
      <c r="B129" t="s">
        <v>2636</v>
      </c>
      <c r="C129" t="s">
        <v>2637</v>
      </c>
    </row>
    <row r="130" spans="1:3" x14ac:dyDescent="0.2">
      <c r="A130" t="str">
        <f t="shared" ref="A130:A193" si="2">CONCATENATE("ciiu_",B130)</f>
        <v>ciiu_2593</v>
      </c>
      <c r="B130" t="s">
        <v>2638</v>
      </c>
      <c r="C130" t="s">
        <v>2639</v>
      </c>
    </row>
    <row r="131" spans="1:3" x14ac:dyDescent="0.2">
      <c r="A131" t="str">
        <f t="shared" si="2"/>
        <v>ciiu_2599</v>
      </c>
      <c r="B131" t="s">
        <v>2640</v>
      </c>
      <c r="C131" t="s">
        <v>2641</v>
      </c>
    </row>
    <row r="132" spans="1:3" x14ac:dyDescent="0.2">
      <c r="A132" t="str">
        <f t="shared" si="2"/>
        <v>ciiu_2610</v>
      </c>
      <c r="B132" t="s">
        <v>2642</v>
      </c>
      <c r="C132" t="s">
        <v>2643</v>
      </c>
    </row>
    <row r="133" spans="1:3" x14ac:dyDescent="0.2">
      <c r="A133" t="str">
        <f t="shared" si="2"/>
        <v>ciiu_2620</v>
      </c>
      <c r="B133" t="s">
        <v>2644</v>
      </c>
      <c r="C133" t="s">
        <v>2645</v>
      </c>
    </row>
    <row r="134" spans="1:3" x14ac:dyDescent="0.2">
      <c r="A134" t="str">
        <f t="shared" si="2"/>
        <v>ciiu_2630</v>
      </c>
      <c r="B134" t="s">
        <v>2646</v>
      </c>
      <c r="C134" t="s">
        <v>2647</v>
      </c>
    </row>
    <row r="135" spans="1:3" x14ac:dyDescent="0.2">
      <c r="A135" t="str">
        <f t="shared" si="2"/>
        <v>ciiu_2640</v>
      </c>
      <c r="B135" t="s">
        <v>2648</v>
      </c>
      <c r="C135" t="s">
        <v>2649</v>
      </c>
    </row>
    <row r="136" spans="1:3" x14ac:dyDescent="0.2">
      <c r="A136" t="str">
        <f t="shared" si="2"/>
        <v>ciiu_2651</v>
      </c>
      <c r="B136" t="s">
        <v>2650</v>
      </c>
      <c r="C136" t="s">
        <v>2651</v>
      </c>
    </row>
    <row r="137" spans="1:3" x14ac:dyDescent="0.2">
      <c r="A137" t="str">
        <f t="shared" si="2"/>
        <v>ciiu_2652</v>
      </c>
      <c r="B137" t="s">
        <v>2652</v>
      </c>
      <c r="C137" t="s">
        <v>2653</v>
      </c>
    </row>
    <row r="138" spans="1:3" x14ac:dyDescent="0.2">
      <c r="A138" t="str">
        <f t="shared" si="2"/>
        <v>ciiu_2660</v>
      </c>
      <c r="B138" t="s">
        <v>2654</v>
      </c>
      <c r="C138" t="s">
        <v>2655</v>
      </c>
    </row>
    <row r="139" spans="1:3" x14ac:dyDescent="0.2">
      <c r="A139" t="str">
        <f t="shared" si="2"/>
        <v>ciiu_2670</v>
      </c>
      <c r="B139" t="s">
        <v>2656</v>
      </c>
      <c r="C139" t="s">
        <v>2657</v>
      </c>
    </row>
    <row r="140" spans="1:3" x14ac:dyDescent="0.2">
      <c r="A140" t="str">
        <f t="shared" si="2"/>
        <v>ciiu_2680</v>
      </c>
      <c r="B140" t="s">
        <v>2658</v>
      </c>
      <c r="C140" t="s">
        <v>2659</v>
      </c>
    </row>
    <row r="141" spans="1:3" x14ac:dyDescent="0.2">
      <c r="A141" t="str">
        <f t="shared" si="2"/>
        <v>ciiu_2710</v>
      </c>
      <c r="B141" t="s">
        <v>2660</v>
      </c>
      <c r="C141" t="s">
        <v>2661</v>
      </c>
    </row>
    <row r="142" spans="1:3" x14ac:dyDescent="0.2">
      <c r="A142" t="str">
        <f t="shared" si="2"/>
        <v>ciiu_2720</v>
      </c>
      <c r="B142" t="s">
        <v>2662</v>
      </c>
      <c r="C142" t="s">
        <v>2663</v>
      </c>
    </row>
    <row r="143" spans="1:3" x14ac:dyDescent="0.2">
      <c r="A143" t="str">
        <f t="shared" si="2"/>
        <v>ciiu_2731</v>
      </c>
      <c r="B143" t="s">
        <v>2664</v>
      </c>
      <c r="C143" t="s">
        <v>2665</v>
      </c>
    </row>
    <row r="144" spans="1:3" x14ac:dyDescent="0.2">
      <c r="A144" t="str">
        <f t="shared" si="2"/>
        <v>ciiu_2732</v>
      </c>
      <c r="B144" t="s">
        <v>2666</v>
      </c>
      <c r="C144" t="s">
        <v>2667</v>
      </c>
    </row>
    <row r="145" spans="1:3" x14ac:dyDescent="0.2">
      <c r="A145" t="str">
        <f t="shared" si="2"/>
        <v>ciiu_2733</v>
      </c>
      <c r="B145" t="s">
        <v>2668</v>
      </c>
      <c r="C145" t="s">
        <v>2669</v>
      </c>
    </row>
    <row r="146" spans="1:3" x14ac:dyDescent="0.2">
      <c r="A146" t="str">
        <f t="shared" si="2"/>
        <v>ciiu_2740</v>
      </c>
      <c r="B146" t="s">
        <v>2670</v>
      </c>
      <c r="C146" t="s">
        <v>2671</v>
      </c>
    </row>
    <row r="147" spans="1:3" x14ac:dyDescent="0.2">
      <c r="A147" t="str">
        <f t="shared" si="2"/>
        <v>ciiu_2750</v>
      </c>
      <c r="B147" t="s">
        <v>2672</v>
      </c>
      <c r="C147" t="s">
        <v>2673</v>
      </c>
    </row>
    <row r="148" spans="1:3" x14ac:dyDescent="0.2">
      <c r="A148" t="str">
        <f t="shared" si="2"/>
        <v>ciiu_2790</v>
      </c>
      <c r="B148" t="s">
        <v>2674</v>
      </c>
      <c r="C148" t="s">
        <v>2675</v>
      </c>
    </row>
    <row r="149" spans="1:3" x14ac:dyDescent="0.2">
      <c r="A149" t="str">
        <f t="shared" si="2"/>
        <v>ciiu_2811</v>
      </c>
      <c r="B149" t="s">
        <v>2676</v>
      </c>
      <c r="C149" t="s">
        <v>2677</v>
      </c>
    </row>
    <row r="150" spans="1:3" x14ac:dyDescent="0.2">
      <c r="A150" t="str">
        <f t="shared" si="2"/>
        <v>ciiu_2812</v>
      </c>
      <c r="B150" t="s">
        <v>2678</v>
      </c>
      <c r="C150" t="s">
        <v>2679</v>
      </c>
    </row>
    <row r="151" spans="1:3" x14ac:dyDescent="0.2">
      <c r="A151" t="str">
        <f t="shared" si="2"/>
        <v>ciiu_2813</v>
      </c>
      <c r="B151" t="s">
        <v>2680</v>
      </c>
      <c r="C151" t="s">
        <v>2681</v>
      </c>
    </row>
    <row r="152" spans="1:3" x14ac:dyDescent="0.2">
      <c r="A152" t="str">
        <f t="shared" si="2"/>
        <v>ciiu_2814</v>
      </c>
      <c r="B152" t="s">
        <v>2682</v>
      </c>
      <c r="C152" t="s">
        <v>2683</v>
      </c>
    </row>
    <row r="153" spans="1:3" x14ac:dyDescent="0.2">
      <c r="A153" t="str">
        <f t="shared" si="2"/>
        <v>ciiu_2815</v>
      </c>
      <c r="B153" t="s">
        <v>2684</v>
      </c>
      <c r="C153" t="s">
        <v>2685</v>
      </c>
    </row>
    <row r="154" spans="1:3" x14ac:dyDescent="0.2">
      <c r="A154" t="str">
        <f t="shared" si="2"/>
        <v>ciiu_2816</v>
      </c>
      <c r="B154" t="s">
        <v>2686</v>
      </c>
      <c r="C154" t="s">
        <v>2687</v>
      </c>
    </row>
    <row r="155" spans="1:3" x14ac:dyDescent="0.2">
      <c r="A155" t="str">
        <f t="shared" si="2"/>
        <v>ciiu_2817</v>
      </c>
      <c r="B155" t="s">
        <v>2688</v>
      </c>
      <c r="C155" t="s">
        <v>2689</v>
      </c>
    </row>
    <row r="156" spans="1:3" x14ac:dyDescent="0.2">
      <c r="A156" t="str">
        <f t="shared" si="2"/>
        <v>ciiu_2818</v>
      </c>
      <c r="B156" t="s">
        <v>2690</v>
      </c>
      <c r="C156" t="s">
        <v>2691</v>
      </c>
    </row>
    <row r="157" spans="1:3" x14ac:dyDescent="0.2">
      <c r="A157" t="str">
        <f t="shared" si="2"/>
        <v>ciiu_2819</v>
      </c>
      <c r="B157" t="s">
        <v>2692</v>
      </c>
      <c r="C157" t="s">
        <v>2693</v>
      </c>
    </row>
    <row r="158" spans="1:3" x14ac:dyDescent="0.2">
      <c r="A158" t="str">
        <f t="shared" si="2"/>
        <v>ciiu_2821</v>
      </c>
      <c r="B158" t="s">
        <v>2694</v>
      </c>
      <c r="C158" t="s">
        <v>2695</v>
      </c>
    </row>
    <row r="159" spans="1:3" x14ac:dyDescent="0.2">
      <c r="A159" t="str">
        <f t="shared" si="2"/>
        <v>ciiu_2822</v>
      </c>
      <c r="B159" t="s">
        <v>2696</v>
      </c>
      <c r="C159" t="s">
        <v>2697</v>
      </c>
    </row>
    <row r="160" spans="1:3" x14ac:dyDescent="0.2">
      <c r="A160" t="str">
        <f t="shared" si="2"/>
        <v>ciiu_2823</v>
      </c>
      <c r="B160" t="s">
        <v>2698</v>
      </c>
      <c r="C160" t="s">
        <v>2699</v>
      </c>
    </row>
    <row r="161" spans="1:3" x14ac:dyDescent="0.2">
      <c r="A161" t="str">
        <f t="shared" si="2"/>
        <v>ciiu_2824</v>
      </c>
      <c r="B161" t="s">
        <v>2700</v>
      </c>
      <c r="C161" t="s">
        <v>2701</v>
      </c>
    </row>
    <row r="162" spans="1:3" x14ac:dyDescent="0.2">
      <c r="A162" t="str">
        <f t="shared" si="2"/>
        <v>ciiu_2825</v>
      </c>
      <c r="B162" t="s">
        <v>2702</v>
      </c>
      <c r="C162" t="s">
        <v>2703</v>
      </c>
    </row>
    <row r="163" spans="1:3" x14ac:dyDescent="0.2">
      <c r="A163" t="str">
        <f t="shared" si="2"/>
        <v>ciiu_2826</v>
      </c>
      <c r="B163" t="s">
        <v>2704</v>
      </c>
      <c r="C163" t="s">
        <v>2705</v>
      </c>
    </row>
    <row r="164" spans="1:3" x14ac:dyDescent="0.2">
      <c r="A164" t="str">
        <f t="shared" si="2"/>
        <v>ciiu_2829</v>
      </c>
      <c r="B164" t="s">
        <v>2706</v>
      </c>
      <c r="C164" t="s">
        <v>2707</v>
      </c>
    </row>
    <row r="165" spans="1:3" x14ac:dyDescent="0.2">
      <c r="A165" t="str">
        <f t="shared" si="2"/>
        <v>ciiu_2910</v>
      </c>
      <c r="B165" t="s">
        <v>2708</v>
      </c>
      <c r="C165" t="s">
        <v>2709</v>
      </c>
    </row>
    <row r="166" spans="1:3" x14ac:dyDescent="0.2">
      <c r="A166" t="str">
        <f t="shared" si="2"/>
        <v>ciiu_2920</v>
      </c>
      <c r="B166" t="s">
        <v>2710</v>
      </c>
      <c r="C166" t="s">
        <v>2711</v>
      </c>
    </row>
    <row r="167" spans="1:3" x14ac:dyDescent="0.2">
      <c r="A167" t="str">
        <f t="shared" si="2"/>
        <v>ciiu_2930</v>
      </c>
      <c r="B167" t="s">
        <v>2712</v>
      </c>
      <c r="C167" t="s">
        <v>2713</v>
      </c>
    </row>
    <row r="168" spans="1:3" x14ac:dyDescent="0.2">
      <c r="A168" t="str">
        <f t="shared" si="2"/>
        <v>ciiu_3011</v>
      </c>
      <c r="B168" t="s">
        <v>2714</v>
      </c>
      <c r="C168" t="s">
        <v>2715</v>
      </c>
    </row>
    <row r="169" spans="1:3" x14ac:dyDescent="0.2">
      <c r="A169" t="str">
        <f t="shared" si="2"/>
        <v>ciiu_3012</v>
      </c>
      <c r="B169" t="s">
        <v>2716</v>
      </c>
      <c r="C169" t="s">
        <v>2717</v>
      </c>
    </row>
    <row r="170" spans="1:3" x14ac:dyDescent="0.2">
      <c r="A170" t="str">
        <f t="shared" si="2"/>
        <v>ciiu_3020</v>
      </c>
      <c r="B170" t="s">
        <v>2718</v>
      </c>
      <c r="C170" t="s">
        <v>2719</v>
      </c>
    </row>
    <row r="171" spans="1:3" x14ac:dyDescent="0.2">
      <c r="A171" t="str">
        <f t="shared" si="2"/>
        <v>ciiu_3030</v>
      </c>
      <c r="B171" t="s">
        <v>2720</v>
      </c>
      <c r="C171" t="s">
        <v>2721</v>
      </c>
    </row>
    <row r="172" spans="1:3" x14ac:dyDescent="0.2">
      <c r="A172" t="str">
        <f t="shared" si="2"/>
        <v>ciiu_3040</v>
      </c>
      <c r="B172" t="s">
        <v>2722</v>
      </c>
      <c r="C172" t="s">
        <v>2723</v>
      </c>
    </row>
    <row r="173" spans="1:3" x14ac:dyDescent="0.2">
      <c r="A173" t="str">
        <f t="shared" si="2"/>
        <v>ciiu_3091</v>
      </c>
      <c r="B173" t="s">
        <v>2724</v>
      </c>
      <c r="C173" t="s">
        <v>2725</v>
      </c>
    </row>
    <row r="174" spans="1:3" x14ac:dyDescent="0.2">
      <c r="A174" t="str">
        <f t="shared" si="2"/>
        <v>ciiu_3092</v>
      </c>
      <c r="B174" t="s">
        <v>2726</v>
      </c>
      <c r="C174" t="s">
        <v>2727</v>
      </c>
    </row>
    <row r="175" spans="1:3" x14ac:dyDescent="0.2">
      <c r="A175" t="str">
        <f t="shared" si="2"/>
        <v>ciiu_3099</v>
      </c>
      <c r="B175" t="s">
        <v>2728</v>
      </c>
      <c r="C175" t="s">
        <v>2729</v>
      </c>
    </row>
    <row r="176" spans="1:3" x14ac:dyDescent="0.2">
      <c r="A176" t="str">
        <f t="shared" si="2"/>
        <v>ciiu_3100</v>
      </c>
      <c r="B176" t="s">
        <v>2730</v>
      </c>
      <c r="C176" t="s">
        <v>2731</v>
      </c>
    </row>
    <row r="177" spans="1:3" x14ac:dyDescent="0.2">
      <c r="A177" t="str">
        <f t="shared" si="2"/>
        <v>ciiu_3211</v>
      </c>
      <c r="B177" t="s">
        <v>2732</v>
      </c>
      <c r="C177" t="s">
        <v>2733</v>
      </c>
    </row>
    <row r="178" spans="1:3" x14ac:dyDescent="0.2">
      <c r="A178" t="str">
        <f t="shared" si="2"/>
        <v>ciiu_3212</v>
      </c>
      <c r="B178" t="s">
        <v>2734</v>
      </c>
      <c r="C178" t="s">
        <v>2735</v>
      </c>
    </row>
    <row r="179" spans="1:3" x14ac:dyDescent="0.2">
      <c r="A179" t="str">
        <f t="shared" si="2"/>
        <v>ciiu_3220</v>
      </c>
      <c r="B179" t="s">
        <v>2736</v>
      </c>
      <c r="C179" t="s">
        <v>2737</v>
      </c>
    </row>
    <row r="180" spans="1:3" x14ac:dyDescent="0.2">
      <c r="A180" t="str">
        <f t="shared" si="2"/>
        <v>ciiu_3230</v>
      </c>
      <c r="B180" t="s">
        <v>2738</v>
      </c>
      <c r="C180" t="s">
        <v>2739</v>
      </c>
    </row>
    <row r="181" spans="1:3" x14ac:dyDescent="0.2">
      <c r="A181" t="str">
        <f t="shared" si="2"/>
        <v>ciiu_3240</v>
      </c>
      <c r="B181" t="s">
        <v>2740</v>
      </c>
      <c r="C181" t="s">
        <v>2741</v>
      </c>
    </row>
    <row r="182" spans="1:3" x14ac:dyDescent="0.2">
      <c r="A182" t="str">
        <f t="shared" si="2"/>
        <v>ciiu_3250</v>
      </c>
      <c r="B182" t="s">
        <v>2742</v>
      </c>
      <c r="C182" t="s">
        <v>2743</v>
      </c>
    </row>
    <row r="183" spans="1:3" x14ac:dyDescent="0.2">
      <c r="A183" t="str">
        <f t="shared" si="2"/>
        <v>ciiu_3290</v>
      </c>
      <c r="B183" t="s">
        <v>2744</v>
      </c>
      <c r="C183" t="s">
        <v>2745</v>
      </c>
    </row>
    <row r="184" spans="1:3" x14ac:dyDescent="0.2">
      <c r="A184" t="str">
        <f t="shared" si="2"/>
        <v>ciiu_3311</v>
      </c>
      <c r="B184" t="s">
        <v>2746</v>
      </c>
      <c r="C184" t="s">
        <v>2747</v>
      </c>
    </row>
    <row r="185" spans="1:3" x14ac:dyDescent="0.2">
      <c r="A185" t="str">
        <f t="shared" si="2"/>
        <v>ciiu_3312</v>
      </c>
      <c r="B185" t="s">
        <v>2748</v>
      </c>
      <c r="C185" t="s">
        <v>2749</v>
      </c>
    </row>
    <row r="186" spans="1:3" x14ac:dyDescent="0.2">
      <c r="A186" t="str">
        <f t="shared" si="2"/>
        <v>ciiu_3313</v>
      </c>
      <c r="B186" t="s">
        <v>2750</v>
      </c>
      <c r="C186" t="s">
        <v>2751</v>
      </c>
    </row>
    <row r="187" spans="1:3" x14ac:dyDescent="0.2">
      <c r="A187" t="str">
        <f t="shared" si="2"/>
        <v>ciiu_3314</v>
      </c>
      <c r="B187" t="s">
        <v>2752</v>
      </c>
      <c r="C187" t="s">
        <v>2753</v>
      </c>
    </row>
    <row r="188" spans="1:3" x14ac:dyDescent="0.2">
      <c r="A188" t="str">
        <f t="shared" si="2"/>
        <v>ciiu_3315</v>
      </c>
      <c r="B188" t="s">
        <v>2754</v>
      </c>
      <c r="C188" t="s">
        <v>2755</v>
      </c>
    </row>
    <row r="189" spans="1:3" x14ac:dyDescent="0.2">
      <c r="A189" t="str">
        <f t="shared" si="2"/>
        <v>ciiu_3319</v>
      </c>
      <c r="B189" t="s">
        <v>2756</v>
      </c>
      <c r="C189" t="s">
        <v>2757</v>
      </c>
    </row>
    <row r="190" spans="1:3" x14ac:dyDescent="0.2">
      <c r="A190" t="str">
        <f t="shared" si="2"/>
        <v>ciiu_3320</v>
      </c>
      <c r="B190" t="s">
        <v>2758</v>
      </c>
      <c r="C190" t="s">
        <v>2759</v>
      </c>
    </row>
    <row r="191" spans="1:3" x14ac:dyDescent="0.2">
      <c r="A191" t="str">
        <f t="shared" si="2"/>
        <v>ciiu_3510</v>
      </c>
      <c r="B191" t="s">
        <v>2760</v>
      </c>
      <c r="C191" t="s">
        <v>2761</v>
      </c>
    </row>
    <row r="192" spans="1:3" x14ac:dyDescent="0.2">
      <c r="A192" t="str">
        <f t="shared" si="2"/>
        <v>ciiu_3520</v>
      </c>
      <c r="B192" t="s">
        <v>2762</v>
      </c>
      <c r="C192" t="s">
        <v>2763</v>
      </c>
    </row>
    <row r="193" spans="1:3" x14ac:dyDescent="0.2">
      <c r="A193" t="str">
        <f t="shared" si="2"/>
        <v>ciiu_3530</v>
      </c>
      <c r="B193" t="s">
        <v>2764</v>
      </c>
      <c r="C193" t="s">
        <v>2765</v>
      </c>
    </row>
    <row r="194" spans="1:3" x14ac:dyDescent="0.2">
      <c r="A194" t="str">
        <f t="shared" ref="A194:A257" si="3">CONCATENATE("ciiu_",B194)</f>
        <v>ciiu_3600</v>
      </c>
      <c r="B194" t="s">
        <v>2766</v>
      </c>
      <c r="C194" t="s">
        <v>2767</v>
      </c>
    </row>
    <row r="195" spans="1:3" x14ac:dyDescent="0.2">
      <c r="A195" t="str">
        <f t="shared" si="3"/>
        <v>ciiu_3700</v>
      </c>
      <c r="B195" t="s">
        <v>2768</v>
      </c>
      <c r="C195" t="s">
        <v>2769</v>
      </c>
    </row>
    <row r="196" spans="1:3" x14ac:dyDescent="0.2">
      <c r="A196" t="str">
        <f t="shared" si="3"/>
        <v>ciiu_3811</v>
      </c>
      <c r="B196" t="s">
        <v>2770</v>
      </c>
      <c r="C196" t="s">
        <v>2771</v>
      </c>
    </row>
    <row r="197" spans="1:3" x14ac:dyDescent="0.2">
      <c r="A197" t="str">
        <f t="shared" si="3"/>
        <v>ciiu_3812</v>
      </c>
      <c r="B197" t="s">
        <v>2772</v>
      </c>
      <c r="C197" t="s">
        <v>2773</v>
      </c>
    </row>
    <row r="198" spans="1:3" x14ac:dyDescent="0.2">
      <c r="A198" t="str">
        <f t="shared" si="3"/>
        <v>ciiu_3821</v>
      </c>
      <c r="B198" t="s">
        <v>2774</v>
      </c>
      <c r="C198" t="s">
        <v>2775</v>
      </c>
    </row>
    <row r="199" spans="1:3" x14ac:dyDescent="0.2">
      <c r="A199" t="str">
        <f t="shared" si="3"/>
        <v>ciiu_3822</v>
      </c>
      <c r="B199" t="s">
        <v>2776</v>
      </c>
      <c r="C199" t="s">
        <v>2777</v>
      </c>
    </row>
    <row r="200" spans="1:3" x14ac:dyDescent="0.2">
      <c r="A200" t="str">
        <f t="shared" si="3"/>
        <v>ciiu_3830</v>
      </c>
      <c r="B200" t="s">
        <v>2778</v>
      </c>
      <c r="C200" t="s">
        <v>2779</v>
      </c>
    </row>
    <row r="201" spans="1:3" x14ac:dyDescent="0.2">
      <c r="A201" t="str">
        <f t="shared" si="3"/>
        <v>ciiu_3900</v>
      </c>
      <c r="B201" t="s">
        <v>2780</v>
      </c>
      <c r="C201" t="s">
        <v>2781</v>
      </c>
    </row>
    <row r="202" spans="1:3" x14ac:dyDescent="0.2">
      <c r="A202" t="str">
        <f t="shared" si="3"/>
        <v>ciiu_4100</v>
      </c>
      <c r="B202" t="s">
        <v>2782</v>
      </c>
      <c r="C202" t="s">
        <v>2783</v>
      </c>
    </row>
    <row r="203" spans="1:3" x14ac:dyDescent="0.2">
      <c r="A203" t="str">
        <f t="shared" si="3"/>
        <v>ciiu_4210</v>
      </c>
      <c r="B203" t="s">
        <v>2784</v>
      </c>
      <c r="C203" t="s">
        <v>2785</v>
      </c>
    </row>
    <row r="204" spans="1:3" x14ac:dyDescent="0.2">
      <c r="A204" t="str">
        <f t="shared" si="3"/>
        <v>ciiu_4220</v>
      </c>
      <c r="B204" t="s">
        <v>2786</v>
      </c>
      <c r="C204" t="s">
        <v>2787</v>
      </c>
    </row>
    <row r="205" spans="1:3" x14ac:dyDescent="0.2">
      <c r="A205" t="str">
        <f t="shared" si="3"/>
        <v>ciiu_4290</v>
      </c>
      <c r="B205" t="s">
        <v>2788</v>
      </c>
      <c r="C205" t="s">
        <v>2789</v>
      </c>
    </row>
    <row r="206" spans="1:3" x14ac:dyDescent="0.2">
      <c r="A206" t="str">
        <f t="shared" si="3"/>
        <v>ciiu_4311</v>
      </c>
      <c r="B206" t="s">
        <v>2790</v>
      </c>
      <c r="C206" t="s">
        <v>2791</v>
      </c>
    </row>
    <row r="207" spans="1:3" x14ac:dyDescent="0.2">
      <c r="A207" t="str">
        <f t="shared" si="3"/>
        <v>ciiu_4312</v>
      </c>
      <c r="B207" t="s">
        <v>2792</v>
      </c>
      <c r="C207" t="s">
        <v>2793</v>
      </c>
    </row>
    <row r="208" spans="1:3" x14ac:dyDescent="0.2">
      <c r="A208" t="str">
        <f t="shared" si="3"/>
        <v>ciiu_4321</v>
      </c>
      <c r="B208" t="s">
        <v>2794</v>
      </c>
      <c r="C208" t="s">
        <v>2795</v>
      </c>
    </row>
    <row r="209" spans="1:3" x14ac:dyDescent="0.2">
      <c r="A209" t="str">
        <f t="shared" si="3"/>
        <v>ciiu_4322</v>
      </c>
      <c r="B209" t="s">
        <v>2796</v>
      </c>
      <c r="C209" t="s">
        <v>2797</v>
      </c>
    </row>
    <row r="210" spans="1:3" x14ac:dyDescent="0.2">
      <c r="A210" t="str">
        <f t="shared" si="3"/>
        <v>ciiu_4329</v>
      </c>
      <c r="B210" t="s">
        <v>2798</v>
      </c>
      <c r="C210" t="s">
        <v>2799</v>
      </c>
    </row>
    <row r="211" spans="1:3" x14ac:dyDescent="0.2">
      <c r="A211" t="str">
        <f t="shared" si="3"/>
        <v>ciiu_4330</v>
      </c>
      <c r="B211" t="s">
        <v>2800</v>
      </c>
      <c r="C211" t="s">
        <v>2801</v>
      </c>
    </row>
    <row r="212" spans="1:3" x14ac:dyDescent="0.2">
      <c r="A212" t="str">
        <f t="shared" si="3"/>
        <v>ciiu_4390</v>
      </c>
      <c r="B212" t="s">
        <v>2802</v>
      </c>
      <c r="C212" t="s">
        <v>2803</v>
      </c>
    </row>
    <row r="213" spans="1:3" x14ac:dyDescent="0.2">
      <c r="A213" t="str">
        <f t="shared" si="3"/>
        <v>ciiu_4510</v>
      </c>
      <c r="B213" t="s">
        <v>2804</v>
      </c>
      <c r="C213" t="s">
        <v>2805</v>
      </c>
    </row>
    <row r="214" spans="1:3" x14ac:dyDescent="0.2">
      <c r="A214" t="str">
        <f t="shared" si="3"/>
        <v>ciiu_4520</v>
      </c>
      <c r="B214" t="s">
        <v>2806</v>
      </c>
      <c r="C214" t="s">
        <v>2807</v>
      </c>
    </row>
    <row r="215" spans="1:3" x14ac:dyDescent="0.2">
      <c r="A215" t="str">
        <f t="shared" si="3"/>
        <v>ciiu_4530</v>
      </c>
      <c r="B215" t="s">
        <v>2808</v>
      </c>
      <c r="C215" t="s">
        <v>2809</v>
      </c>
    </row>
    <row r="216" spans="1:3" x14ac:dyDescent="0.2">
      <c r="A216" t="str">
        <f t="shared" si="3"/>
        <v>ciiu_4540</v>
      </c>
      <c r="B216" t="s">
        <v>2810</v>
      </c>
      <c r="C216" t="s">
        <v>2811</v>
      </c>
    </row>
    <row r="217" spans="1:3" x14ac:dyDescent="0.2">
      <c r="A217" t="str">
        <f t="shared" si="3"/>
        <v>ciiu_4610</v>
      </c>
      <c r="B217" t="s">
        <v>2812</v>
      </c>
      <c r="C217" t="s">
        <v>2813</v>
      </c>
    </row>
    <row r="218" spans="1:3" x14ac:dyDescent="0.2">
      <c r="A218" t="str">
        <f t="shared" si="3"/>
        <v>ciiu_4620</v>
      </c>
      <c r="B218" t="s">
        <v>2814</v>
      </c>
      <c r="C218" t="s">
        <v>2815</v>
      </c>
    </row>
    <row r="219" spans="1:3" x14ac:dyDescent="0.2">
      <c r="A219" t="str">
        <f t="shared" si="3"/>
        <v>ciiu_4630</v>
      </c>
      <c r="B219" t="s">
        <v>2816</v>
      </c>
      <c r="C219" t="s">
        <v>2817</v>
      </c>
    </row>
    <row r="220" spans="1:3" x14ac:dyDescent="0.2">
      <c r="A220" t="str">
        <f t="shared" si="3"/>
        <v>ciiu_4641</v>
      </c>
      <c r="B220" t="s">
        <v>2818</v>
      </c>
      <c r="C220" t="s">
        <v>2819</v>
      </c>
    </row>
    <row r="221" spans="1:3" x14ac:dyDescent="0.2">
      <c r="A221" t="str">
        <f t="shared" si="3"/>
        <v>ciiu_4649</v>
      </c>
      <c r="B221" t="s">
        <v>2820</v>
      </c>
      <c r="C221" t="s">
        <v>2821</v>
      </c>
    </row>
    <row r="222" spans="1:3" x14ac:dyDescent="0.2">
      <c r="A222" t="str">
        <f t="shared" si="3"/>
        <v>ciiu_4651</v>
      </c>
      <c r="B222" t="s">
        <v>2822</v>
      </c>
      <c r="C222" t="s">
        <v>2823</v>
      </c>
    </row>
    <row r="223" spans="1:3" x14ac:dyDescent="0.2">
      <c r="A223" t="str">
        <f t="shared" si="3"/>
        <v>ciiu_4652</v>
      </c>
      <c r="B223" t="s">
        <v>2824</v>
      </c>
      <c r="C223" t="s">
        <v>2825</v>
      </c>
    </row>
    <row r="224" spans="1:3" x14ac:dyDescent="0.2">
      <c r="A224" t="str">
        <f t="shared" si="3"/>
        <v>ciiu_4653</v>
      </c>
      <c r="B224" t="s">
        <v>2826</v>
      </c>
      <c r="C224" t="s">
        <v>2827</v>
      </c>
    </row>
    <row r="225" spans="1:3" x14ac:dyDescent="0.2">
      <c r="A225" t="str">
        <f t="shared" si="3"/>
        <v>ciiu_4659</v>
      </c>
      <c r="B225" t="s">
        <v>2828</v>
      </c>
      <c r="C225" t="s">
        <v>2829</v>
      </c>
    </row>
    <row r="226" spans="1:3" x14ac:dyDescent="0.2">
      <c r="A226" t="str">
        <f t="shared" si="3"/>
        <v>ciiu_4661</v>
      </c>
      <c r="B226" t="s">
        <v>2830</v>
      </c>
      <c r="C226" t="s">
        <v>2831</v>
      </c>
    </row>
    <row r="227" spans="1:3" x14ac:dyDescent="0.2">
      <c r="A227" t="str">
        <f t="shared" si="3"/>
        <v>ciiu_4662</v>
      </c>
      <c r="B227" t="s">
        <v>2832</v>
      </c>
      <c r="C227" t="s">
        <v>2833</v>
      </c>
    </row>
    <row r="228" spans="1:3" x14ac:dyDescent="0.2">
      <c r="A228" t="str">
        <f t="shared" si="3"/>
        <v>ciiu_4663</v>
      </c>
      <c r="B228" t="s">
        <v>2834</v>
      </c>
      <c r="C228" t="s">
        <v>2835</v>
      </c>
    </row>
    <row r="229" spans="1:3" x14ac:dyDescent="0.2">
      <c r="A229" t="str">
        <f t="shared" si="3"/>
        <v>ciiu_4669</v>
      </c>
      <c r="B229" t="s">
        <v>2836</v>
      </c>
      <c r="C229" t="s">
        <v>2837</v>
      </c>
    </row>
    <row r="230" spans="1:3" x14ac:dyDescent="0.2">
      <c r="A230" t="str">
        <f t="shared" si="3"/>
        <v>ciiu_4690</v>
      </c>
      <c r="B230" t="s">
        <v>2838</v>
      </c>
      <c r="C230" t="s">
        <v>2839</v>
      </c>
    </row>
    <row r="231" spans="1:3" x14ac:dyDescent="0.2">
      <c r="A231" t="str">
        <f t="shared" si="3"/>
        <v>ciiu_4711</v>
      </c>
      <c r="B231" t="s">
        <v>2840</v>
      </c>
      <c r="C231" t="s">
        <v>2841</v>
      </c>
    </row>
    <row r="232" spans="1:3" x14ac:dyDescent="0.2">
      <c r="A232" t="str">
        <f t="shared" si="3"/>
        <v>ciiu_4719</v>
      </c>
      <c r="B232" t="s">
        <v>2842</v>
      </c>
      <c r="C232" t="s">
        <v>2843</v>
      </c>
    </row>
    <row r="233" spans="1:3" x14ac:dyDescent="0.2">
      <c r="A233" t="str">
        <f t="shared" si="3"/>
        <v>ciiu_4721</v>
      </c>
      <c r="B233" t="s">
        <v>2844</v>
      </c>
      <c r="C233" t="s">
        <v>2845</v>
      </c>
    </row>
    <row r="234" spans="1:3" x14ac:dyDescent="0.2">
      <c r="A234" t="str">
        <f t="shared" si="3"/>
        <v>ciiu_4722</v>
      </c>
      <c r="B234" t="s">
        <v>2846</v>
      </c>
      <c r="C234" t="s">
        <v>2847</v>
      </c>
    </row>
    <row r="235" spans="1:3" x14ac:dyDescent="0.2">
      <c r="A235" t="str">
        <f t="shared" si="3"/>
        <v>ciiu_4723</v>
      </c>
      <c r="B235" t="s">
        <v>2848</v>
      </c>
      <c r="C235" t="s">
        <v>2849</v>
      </c>
    </row>
    <row r="236" spans="1:3" x14ac:dyDescent="0.2">
      <c r="A236" t="str">
        <f t="shared" si="3"/>
        <v>ciiu_4730</v>
      </c>
      <c r="B236" t="s">
        <v>2850</v>
      </c>
      <c r="C236" t="s">
        <v>2851</v>
      </c>
    </row>
    <row r="237" spans="1:3" x14ac:dyDescent="0.2">
      <c r="A237" t="str">
        <f t="shared" si="3"/>
        <v>ciiu_4741</v>
      </c>
      <c r="B237" t="s">
        <v>2852</v>
      </c>
      <c r="C237" t="s">
        <v>2853</v>
      </c>
    </row>
    <row r="238" spans="1:3" x14ac:dyDescent="0.2">
      <c r="A238" t="str">
        <f t="shared" si="3"/>
        <v>ciiu_4742</v>
      </c>
      <c r="B238" t="s">
        <v>2854</v>
      </c>
      <c r="C238" t="s">
        <v>2855</v>
      </c>
    </row>
    <row r="239" spans="1:3" x14ac:dyDescent="0.2">
      <c r="A239" t="str">
        <f t="shared" si="3"/>
        <v>ciiu_4751</v>
      </c>
      <c r="B239" t="s">
        <v>2856</v>
      </c>
      <c r="C239" t="s">
        <v>2857</v>
      </c>
    </row>
    <row r="240" spans="1:3" x14ac:dyDescent="0.2">
      <c r="A240" t="str">
        <f t="shared" si="3"/>
        <v>ciiu_4752</v>
      </c>
      <c r="B240" t="s">
        <v>2858</v>
      </c>
      <c r="C240" t="s">
        <v>2859</v>
      </c>
    </row>
    <row r="241" spans="1:3" x14ac:dyDescent="0.2">
      <c r="A241" t="str">
        <f t="shared" si="3"/>
        <v>ciiu_4753</v>
      </c>
      <c r="B241" t="s">
        <v>2860</v>
      </c>
      <c r="C241" t="s">
        <v>2861</v>
      </c>
    </row>
    <row r="242" spans="1:3" x14ac:dyDescent="0.2">
      <c r="A242" t="str">
        <f t="shared" si="3"/>
        <v>ciiu_4759</v>
      </c>
      <c r="B242" t="s">
        <v>2862</v>
      </c>
      <c r="C242" t="s">
        <v>2863</v>
      </c>
    </row>
    <row r="243" spans="1:3" x14ac:dyDescent="0.2">
      <c r="A243" t="str">
        <f t="shared" si="3"/>
        <v>ciiu_4761</v>
      </c>
      <c r="B243" t="s">
        <v>2864</v>
      </c>
      <c r="C243" t="s">
        <v>2865</v>
      </c>
    </row>
    <row r="244" spans="1:3" x14ac:dyDescent="0.2">
      <c r="A244" t="str">
        <f t="shared" si="3"/>
        <v>ciiu_4762</v>
      </c>
      <c r="B244" t="s">
        <v>2866</v>
      </c>
      <c r="C244" t="s">
        <v>2867</v>
      </c>
    </row>
    <row r="245" spans="1:3" x14ac:dyDescent="0.2">
      <c r="A245" t="str">
        <f t="shared" si="3"/>
        <v>ciiu_4763</v>
      </c>
      <c r="B245" t="s">
        <v>2868</v>
      </c>
      <c r="C245" t="s">
        <v>2869</v>
      </c>
    </row>
    <row r="246" spans="1:3" x14ac:dyDescent="0.2">
      <c r="A246" t="str">
        <f t="shared" si="3"/>
        <v>ciiu_4764</v>
      </c>
      <c r="B246" t="s">
        <v>2870</v>
      </c>
      <c r="C246" t="s">
        <v>2871</v>
      </c>
    </row>
    <row r="247" spans="1:3" x14ac:dyDescent="0.2">
      <c r="A247" t="str">
        <f t="shared" si="3"/>
        <v>ciiu_4771</v>
      </c>
      <c r="B247" t="s">
        <v>2872</v>
      </c>
      <c r="C247" t="s">
        <v>2873</v>
      </c>
    </row>
    <row r="248" spans="1:3" x14ac:dyDescent="0.2">
      <c r="A248" t="str">
        <f t="shared" si="3"/>
        <v>ciiu_4772</v>
      </c>
      <c r="B248" t="s">
        <v>2874</v>
      </c>
      <c r="C248" t="s">
        <v>2875</v>
      </c>
    </row>
    <row r="249" spans="1:3" x14ac:dyDescent="0.2">
      <c r="A249" t="str">
        <f t="shared" si="3"/>
        <v>ciiu_4773</v>
      </c>
      <c r="B249" t="s">
        <v>2876</v>
      </c>
      <c r="C249" t="s">
        <v>2877</v>
      </c>
    </row>
    <row r="250" spans="1:3" x14ac:dyDescent="0.2">
      <c r="A250" t="str">
        <f t="shared" si="3"/>
        <v>ciiu_4774</v>
      </c>
      <c r="B250" t="s">
        <v>2878</v>
      </c>
      <c r="C250" t="s">
        <v>2879</v>
      </c>
    </row>
    <row r="251" spans="1:3" x14ac:dyDescent="0.2">
      <c r="A251" t="str">
        <f t="shared" si="3"/>
        <v>ciiu_4781</v>
      </c>
      <c r="B251" t="s">
        <v>2880</v>
      </c>
      <c r="C251" t="s">
        <v>2881</v>
      </c>
    </row>
    <row r="252" spans="1:3" x14ac:dyDescent="0.2">
      <c r="A252" t="str">
        <f t="shared" si="3"/>
        <v>ciiu_4782</v>
      </c>
      <c r="B252" t="s">
        <v>2882</v>
      </c>
      <c r="C252" t="s">
        <v>2883</v>
      </c>
    </row>
    <row r="253" spans="1:3" x14ac:dyDescent="0.2">
      <c r="A253" t="str">
        <f t="shared" si="3"/>
        <v>ciiu_4789</v>
      </c>
      <c r="B253" t="s">
        <v>2884</v>
      </c>
      <c r="C253" t="s">
        <v>2885</v>
      </c>
    </row>
    <row r="254" spans="1:3" x14ac:dyDescent="0.2">
      <c r="A254" t="str">
        <f t="shared" si="3"/>
        <v>ciiu_4791</v>
      </c>
      <c r="B254" t="s">
        <v>2886</v>
      </c>
      <c r="C254" t="s">
        <v>2887</v>
      </c>
    </row>
    <row r="255" spans="1:3" x14ac:dyDescent="0.2">
      <c r="A255" t="str">
        <f t="shared" si="3"/>
        <v>ciiu_4799</v>
      </c>
      <c r="B255" t="s">
        <v>2888</v>
      </c>
      <c r="C255" t="s">
        <v>2889</v>
      </c>
    </row>
    <row r="256" spans="1:3" x14ac:dyDescent="0.2">
      <c r="A256" t="str">
        <f t="shared" si="3"/>
        <v>ciiu_4911</v>
      </c>
      <c r="B256" t="s">
        <v>2890</v>
      </c>
      <c r="C256" t="s">
        <v>2891</v>
      </c>
    </row>
    <row r="257" spans="1:3" x14ac:dyDescent="0.2">
      <c r="A257" t="str">
        <f t="shared" si="3"/>
        <v>ciiu_4912</v>
      </c>
      <c r="B257" t="s">
        <v>2892</v>
      </c>
      <c r="C257" t="s">
        <v>2893</v>
      </c>
    </row>
    <row r="258" spans="1:3" x14ac:dyDescent="0.2">
      <c r="A258" t="str">
        <f t="shared" ref="A258:A321" si="4">CONCATENATE("ciiu_",B258)</f>
        <v>ciiu_4921</v>
      </c>
      <c r="B258" t="s">
        <v>2894</v>
      </c>
      <c r="C258" t="s">
        <v>2895</v>
      </c>
    </row>
    <row r="259" spans="1:3" x14ac:dyDescent="0.2">
      <c r="A259" t="str">
        <f t="shared" si="4"/>
        <v>ciiu_4922</v>
      </c>
      <c r="B259" t="s">
        <v>2896</v>
      </c>
      <c r="C259" t="s">
        <v>2897</v>
      </c>
    </row>
    <row r="260" spans="1:3" x14ac:dyDescent="0.2">
      <c r="A260" t="str">
        <f t="shared" si="4"/>
        <v>ciiu_4923</v>
      </c>
      <c r="B260" t="s">
        <v>2898</v>
      </c>
      <c r="C260" t="s">
        <v>2899</v>
      </c>
    </row>
    <row r="261" spans="1:3" x14ac:dyDescent="0.2">
      <c r="A261" t="str">
        <f t="shared" si="4"/>
        <v>ciiu_4930</v>
      </c>
      <c r="B261" t="s">
        <v>2900</v>
      </c>
      <c r="C261" t="s">
        <v>2901</v>
      </c>
    </row>
    <row r="262" spans="1:3" x14ac:dyDescent="0.2">
      <c r="A262" t="str">
        <f t="shared" si="4"/>
        <v>ciiu_5011</v>
      </c>
      <c r="B262" t="s">
        <v>2227</v>
      </c>
      <c r="C262" t="s">
        <v>2902</v>
      </c>
    </row>
    <row r="263" spans="1:3" x14ac:dyDescent="0.2">
      <c r="A263" t="str">
        <f t="shared" si="4"/>
        <v>ciiu_5012</v>
      </c>
      <c r="B263" t="s">
        <v>2229</v>
      </c>
      <c r="C263" t="s">
        <v>2903</v>
      </c>
    </row>
    <row r="264" spans="1:3" x14ac:dyDescent="0.2">
      <c r="A264" t="str">
        <f t="shared" si="4"/>
        <v>ciiu_5021</v>
      </c>
      <c r="B264" t="s">
        <v>2247</v>
      </c>
      <c r="C264" t="s">
        <v>2904</v>
      </c>
    </row>
    <row r="265" spans="1:3" x14ac:dyDescent="0.2">
      <c r="A265" t="str">
        <f t="shared" si="4"/>
        <v>ciiu_5022</v>
      </c>
      <c r="B265" t="s">
        <v>2249</v>
      </c>
      <c r="C265" t="s">
        <v>2905</v>
      </c>
    </row>
    <row r="266" spans="1:3" x14ac:dyDescent="0.2">
      <c r="A266" t="str">
        <f t="shared" si="4"/>
        <v>ciiu_5110</v>
      </c>
      <c r="B266" t="s">
        <v>2906</v>
      </c>
      <c r="C266" t="s">
        <v>2907</v>
      </c>
    </row>
    <row r="267" spans="1:3" x14ac:dyDescent="0.2">
      <c r="A267" t="str">
        <f t="shared" si="4"/>
        <v>ciiu_5120</v>
      </c>
      <c r="B267" t="s">
        <v>2908</v>
      </c>
      <c r="C267" t="s">
        <v>2909</v>
      </c>
    </row>
    <row r="268" spans="1:3" x14ac:dyDescent="0.2">
      <c r="A268" t="str">
        <f t="shared" si="4"/>
        <v>ciiu_5210</v>
      </c>
      <c r="B268" t="s">
        <v>2910</v>
      </c>
      <c r="C268" t="s">
        <v>2911</v>
      </c>
    </row>
    <row r="269" spans="1:3" x14ac:dyDescent="0.2">
      <c r="A269" t="str">
        <f t="shared" si="4"/>
        <v>ciiu_5221</v>
      </c>
      <c r="B269" t="s">
        <v>2912</v>
      </c>
      <c r="C269" t="s">
        <v>2913</v>
      </c>
    </row>
    <row r="270" spans="1:3" x14ac:dyDescent="0.2">
      <c r="A270" t="str">
        <f t="shared" si="4"/>
        <v>ciiu_5222</v>
      </c>
      <c r="B270" t="s">
        <v>2914</v>
      </c>
      <c r="C270" t="s">
        <v>2915</v>
      </c>
    </row>
    <row r="271" spans="1:3" x14ac:dyDescent="0.2">
      <c r="A271" t="str">
        <f t="shared" si="4"/>
        <v>ciiu_5223</v>
      </c>
      <c r="B271" t="s">
        <v>2916</v>
      </c>
      <c r="C271" t="s">
        <v>2917</v>
      </c>
    </row>
    <row r="272" spans="1:3" x14ac:dyDescent="0.2">
      <c r="A272" t="str">
        <f t="shared" si="4"/>
        <v>ciiu_5224</v>
      </c>
      <c r="B272" t="s">
        <v>2918</v>
      </c>
      <c r="C272" t="s">
        <v>2919</v>
      </c>
    </row>
    <row r="273" spans="1:3" x14ac:dyDescent="0.2">
      <c r="A273" t="str">
        <f t="shared" si="4"/>
        <v>ciiu_5229</v>
      </c>
      <c r="B273" t="s">
        <v>2920</v>
      </c>
      <c r="C273" t="s">
        <v>2921</v>
      </c>
    </row>
    <row r="274" spans="1:3" x14ac:dyDescent="0.2">
      <c r="A274" t="str">
        <f t="shared" si="4"/>
        <v>ciiu_5310</v>
      </c>
      <c r="B274" t="s">
        <v>2922</v>
      </c>
      <c r="C274" t="s">
        <v>2923</v>
      </c>
    </row>
    <row r="275" spans="1:3" x14ac:dyDescent="0.2">
      <c r="A275" t="str">
        <f t="shared" si="4"/>
        <v>ciiu_5320</v>
      </c>
      <c r="B275" t="s">
        <v>2924</v>
      </c>
      <c r="C275" t="s">
        <v>2925</v>
      </c>
    </row>
    <row r="276" spans="1:3" x14ac:dyDescent="0.2">
      <c r="A276" t="str">
        <f t="shared" si="4"/>
        <v>ciiu_5510</v>
      </c>
      <c r="B276" t="s">
        <v>2926</v>
      </c>
      <c r="C276" t="s">
        <v>2927</v>
      </c>
    </row>
    <row r="277" spans="1:3" x14ac:dyDescent="0.2">
      <c r="A277" t="str">
        <f t="shared" si="4"/>
        <v>ciiu_5520</v>
      </c>
      <c r="B277" t="s">
        <v>2928</v>
      </c>
      <c r="C277" t="s">
        <v>2929</v>
      </c>
    </row>
    <row r="278" spans="1:3" x14ac:dyDescent="0.2">
      <c r="A278" t="str">
        <f t="shared" si="4"/>
        <v>ciiu_5590</v>
      </c>
      <c r="B278" t="s">
        <v>2930</v>
      </c>
      <c r="C278" t="s">
        <v>2931</v>
      </c>
    </row>
    <row r="279" spans="1:3" x14ac:dyDescent="0.2">
      <c r="A279" t="str">
        <f t="shared" si="4"/>
        <v>ciiu_5610</v>
      </c>
      <c r="B279" t="s">
        <v>2932</v>
      </c>
      <c r="C279" t="s">
        <v>2933</v>
      </c>
    </row>
    <row r="280" spans="1:3" x14ac:dyDescent="0.2">
      <c r="A280" t="str">
        <f t="shared" si="4"/>
        <v>ciiu_5621</v>
      </c>
      <c r="B280" t="s">
        <v>2934</v>
      </c>
      <c r="C280" t="s">
        <v>2935</v>
      </c>
    </row>
    <row r="281" spans="1:3" x14ac:dyDescent="0.2">
      <c r="A281" t="str">
        <f t="shared" si="4"/>
        <v>ciiu_5629</v>
      </c>
      <c r="B281" t="s">
        <v>2936</v>
      </c>
      <c r="C281" t="s">
        <v>2937</v>
      </c>
    </row>
    <row r="282" spans="1:3" x14ac:dyDescent="0.2">
      <c r="A282" t="str">
        <f t="shared" si="4"/>
        <v>ciiu_5630</v>
      </c>
      <c r="B282" t="s">
        <v>2938</v>
      </c>
      <c r="C282" t="s">
        <v>2939</v>
      </c>
    </row>
    <row r="283" spans="1:3" x14ac:dyDescent="0.2">
      <c r="A283" t="str">
        <f t="shared" si="4"/>
        <v>ciiu_5811</v>
      </c>
      <c r="B283" t="s">
        <v>2940</v>
      </c>
      <c r="C283" t="s">
        <v>2941</v>
      </c>
    </row>
    <row r="284" spans="1:3" x14ac:dyDescent="0.2">
      <c r="A284" t="str">
        <f t="shared" si="4"/>
        <v>ciiu_5812</v>
      </c>
      <c r="B284" t="s">
        <v>2942</v>
      </c>
      <c r="C284" t="s">
        <v>2943</v>
      </c>
    </row>
    <row r="285" spans="1:3" x14ac:dyDescent="0.2">
      <c r="A285" t="str">
        <f t="shared" si="4"/>
        <v>ciiu_5813</v>
      </c>
      <c r="B285" t="s">
        <v>2944</v>
      </c>
      <c r="C285" t="s">
        <v>2945</v>
      </c>
    </row>
    <row r="286" spans="1:3" x14ac:dyDescent="0.2">
      <c r="A286" t="str">
        <f t="shared" si="4"/>
        <v>ciiu_5819</v>
      </c>
      <c r="B286" t="s">
        <v>2946</v>
      </c>
      <c r="C286" t="s">
        <v>2947</v>
      </c>
    </row>
    <row r="287" spans="1:3" x14ac:dyDescent="0.2">
      <c r="A287" t="str">
        <f t="shared" si="4"/>
        <v>ciiu_5820</v>
      </c>
      <c r="B287" t="s">
        <v>2948</v>
      </c>
      <c r="C287" t="s">
        <v>2949</v>
      </c>
    </row>
    <row r="288" spans="1:3" x14ac:dyDescent="0.2">
      <c r="A288" t="str">
        <f t="shared" si="4"/>
        <v>ciiu_5911</v>
      </c>
      <c r="B288" t="s">
        <v>2950</v>
      </c>
      <c r="C288" t="s">
        <v>2951</v>
      </c>
    </row>
    <row r="289" spans="1:3" x14ac:dyDescent="0.2">
      <c r="A289" t="str">
        <f t="shared" si="4"/>
        <v>ciiu_5912</v>
      </c>
      <c r="B289" t="s">
        <v>2952</v>
      </c>
      <c r="C289" t="s">
        <v>2953</v>
      </c>
    </row>
    <row r="290" spans="1:3" x14ac:dyDescent="0.2">
      <c r="A290" t="str">
        <f t="shared" si="4"/>
        <v>ciiu_5913</v>
      </c>
      <c r="B290" t="s">
        <v>2954</v>
      </c>
      <c r="C290" t="s">
        <v>2955</v>
      </c>
    </row>
    <row r="291" spans="1:3" x14ac:dyDescent="0.2">
      <c r="A291" t="str">
        <f t="shared" si="4"/>
        <v>ciiu_5914</v>
      </c>
      <c r="B291" t="s">
        <v>2956</v>
      </c>
      <c r="C291" t="s">
        <v>2957</v>
      </c>
    </row>
    <row r="292" spans="1:3" x14ac:dyDescent="0.2">
      <c r="A292" t="str">
        <f t="shared" si="4"/>
        <v>ciiu_5920</v>
      </c>
      <c r="B292" t="s">
        <v>2958</v>
      </c>
      <c r="C292" t="s">
        <v>2959</v>
      </c>
    </row>
    <row r="293" spans="1:3" x14ac:dyDescent="0.2">
      <c r="A293" t="str">
        <f t="shared" si="4"/>
        <v>ciiu_6010</v>
      </c>
      <c r="B293" t="s">
        <v>2960</v>
      </c>
      <c r="C293" t="s">
        <v>2961</v>
      </c>
    </row>
    <row r="294" spans="1:3" x14ac:dyDescent="0.2">
      <c r="A294" t="str">
        <f t="shared" si="4"/>
        <v>ciiu_6020</v>
      </c>
      <c r="B294" t="s">
        <v>2962</v>
      </c>
      <c r="C294" t="s">
        <v>2963</v>
      </c>
    </row>
    <row r="295" spans="1:3" x14ac:dyDescent="0.2">
      <c r="A295" t="str">
        <f t="shared" si="4"/>
        <v>ciiu_6110</v>
      </c>
      <c r="B295" t="s">
        <v>2964</v>
      </c>
      <c r="C295" t="s">
        <v>2965</v>
      </c>
    </row>
    <row r="296" spans="1:3" x14ac:dyDescent="0.2">
      <c r="A296" t="str">
        <f t="shared" si="4"/>
        <v>ciiu_6120</v>
      </c>
      <c r="B296" t="s">
        <v>2966</v>
      </c>
      <c r="C296" t="s">
        <v>2967</v>
      </c>
    </row>
    <row r="297" spans="1:3" x14ac:dyDescent="0.2">
      <c r="A297" t="str">
        <f t="shared" si="4"/>
        <v>ciiu_6130</v>
      </c>
      <c r="B297" t="s">
        <v>2968</v>
      </c>
      <c r="C297" t="s">
        <v>2969</v>
      </c>
    </row>
    <row r="298" spans="1:3" x14ac:dyDescent="0.2">
      <c r="A298" t="str">
        <f t="shared" si="4"/>
        <v>ciiu_6190</v>
      </c>
      <c r="B298" t="s">
        <v>2970</v>
      </c>
      <c r="C298" t="s">
        <v>2971</v>
      </c>
    </row>
    <row r="299" spans="1:3" x14ac:dyDescent="0.2">
      <c r="A299" t="str">
        <f t="shared" si="4"/>
        <v>ciiu_6201</v>
      </c>
      <c r="B299" t="s">
        <v>2972</v>
      </c>
      <c r="C299" t="s">
        <v>2973</v>
      </c>
    </row>
    <row r="300" spans="1:3" x14ac:dyDescent="0.2">
      <c r="A300" t="str">
        <f t="shared" si="4"/>
        <v>ciiu_6202</v>
      </c>
      <c r="B300" t="s">
        <v>2974</v>
      </c>
      <c r="C300" t="s">
        <v>2975</v>
      </c>
    </row>
    <row r="301" spans="1:3" x14ac:dyDescent="0.2">
      <c r="A301" t="str">
        <f t="shared" si="4"/>
        <v>ciiu_6209</v>
      </c>
      <c r="B301" t="s">
        <v>2976</v>
      </c>
      <c r="C301" t="s">
        <v>2977</v>
      </c>
    </row>
    <row r="302" spans="1:3" x14ac:dyDescent="0.2">
      <c r="A302" t="str">
        <f t="shared" si="4"/>
        <v>ciiu_6311</v>
      </c>
      <c r="B302" t="s">
        <v>2978</v>
      </c>
      <c r="C302" t="s">
        <v>2979</v>
      </c>
    </row>
    <row r="303" spans="1:3" x14ac:dyDescent="0.2">
      <c r="A303" t="str">
        <f t="shared" si="4"/>
        <v>ciiu_6312</v>
      </c>
      <c r="B303" t="s">
        <v>2980</v>
      </c>
      <c r="C303" t="s">
        <v>2981</v>
      </c>
    </row>
    <row r="304" spans="1:3" x14ac:dyDescent="0.2">
      <c r="A304" t="str">
        <f t="shared" si="4"/>
        <v>ciiu_6391</v>
      </c>
      <c r="B304" t="s">
        <v>2982</v>
      </c>
      <c r="C304" t="s">
        <v>2983</v>
      </c>
    </row>
    <row r="305" spans="1:3" x14ac:dyDescent="0.2">
      <c r="A305" t="str">
        <f t="shared" si="4"/>
        <v>ciiu_6399</v>
      </c>
      <c r="B305" t="s">
        <v>2984</v>
      </c>
      <c r="C305" t="s">
        <v>2985</v>
      </c>
    </row>
    <row r="306" spans="1:3" x14ac:dyDescent="0.2">
      <c r="A306" t="str">
        <f t="shared" si="4"/>
        <v>ciiu_6411</v>
      </c>
      <c r="B306" t="s">
        <v>2986</v>
      </c>
      <c r="C306" t="s">
        <v>2987</v>
      </c>
    </row>
    <row r="307" spans="1:3" x14ac:dyDescent="0.2">
      <c r="A307" t="str">
        <f t="shared" si="4"/>
        <v>ciiu_6419</v>
      </c>
      <c r="B307" t="s">
        <v>2988</v>
      </c>
      <c r="C307" t="s">
        <v>2989</v>
      </c>
    </row>
    <row r="308" spans="1:3" x14ac:dyDescent="0.2">
      <c r="A308" t="str">
        <f t="shared" si="4"/>
        <v>ciiu_6420</v>
      </c>
      <c r="B308" t="s">
        <v>2990</v>
      </c>
      <c r="C308" t="s">
        <v>2991</v>
      </c>
    </row>
    <row r="309" spans="1:3" x14ac:dyDescent="0.2">
      <c r="A309" t="str">
        <f t="shared" si="4"/>
        <v>ciiu_6430</v>
      </c>
      <c r="B309" t="s">
        <v>2992</v>
      </c>
      <c r="C309" t="s">
        <v>2993</v>
      </c>
    </row>
    <row r="310" spans="1:3" x14ac:dyDescent="0.2">
      <c r="A310" t="str">
        <f t="shared" si="4"/>
        <v>ciiu_6491</v>
      </c>
      <c r="B310" t="s">
        <v>2994</v>
      </c>
      <c r="C310" t="s">
        <v>2995</v>
      </c>
    </row>
    <row r="311" spans="1:3" x14ac:dyDescent="0.2">
      <c r="A311" t="str">
        <f t="shared" si="4"/>
        <v>ciiu_6492</v>
      </c>
      <c r="B311" t="s">
        <v>2996</v>
      </c>
      <c r="C311" t="s">
        <v>2997</v>
      </c>
    </row>
    <row r="312" spans="1:3" x14ac:dyDescent="0.2">
      <c r="A312" t="str">
        <f t="shared" si="4"/>
        <v>ciiu_6499</v>
      </c>
      <c r="B312" t="s">
        <v>2998</v>
      </c>
      <c r="C312" t="s">
        <v>2999</v>
      </c>
    </row>
    <row r="313" spans="1:3" x14ac:dyDescent="0.2">
      <c r="A313" t="str">
        <f t="shared" si="4"/>
        <v>ciiu_6511</v>
      </c>
      <c r="B313" t="s">
        <v>3000</v>
      </c>
      <c r="C313" t="s">
        <v>3001</v>
      </c>
    </row>
    <row r="314" spans="1:3" x14ac:dyDescent="0.2">
      <c r="A314" t="str">
        <f t="shared" si="4"/>
        <v>ciiu_6512</v>
      </c>
      <c r="B314" t="s">
        <v>3002</v>
      </c>
      <c r="C314" t="s">
        <v>3003</v>
      </c>
    </row>
    <row r="315" spans="1:3" x14ac:dyDescent="0.2">
      <c r="A315" t="str">
        <f t="shared" si="4"/>
        <v>ciiu_6520</v>
      </c>
      <c r="B315" t="s">
        <v>3004</v>
      </c>
      <c r="C315" t="s">
        <v>3005</v>
      </c>
    </row>
    <row r="316" spans="1:3" x14ac:dyDescent="0.2">
      <c r="A316" t="str">
        <f t="shared" si="4"/>
        <v>ciiu_6530</v>
      </c>
      <c r="B316" t="s">
        <v>3006</v>
      </c>
      <c r="C316" t="s">
        <v>3007</v>
      </c>
    </row>
    <row r="317" spans="1:3" x14ac:dyDescent="0.2">
      <c r="A317" t="str">
        <f t="shared" si="4"/>
        <v>ciiu_6611</v>
      </c>
      <c r="B317" t="s">
        <v>3008</v>
      </c>
      <c r="C317" t="s">
        <v>3009</v>
      </c>
    </row>
    <row r="318" spans="1:3" x14ac:dyDescent="0.2">
      <c r="A318" t="str">
        <f t="shared" si="4"/>
        <v>ciiu_6612</v>
      </c>
      <c r="B318" t="s">
        <v>3010</v>
      </c>
      <c r="C318" t="s">
        <v>3011</v>
      </c>
    </row>
    <row r="319" spans="1:3" x14ac:dyDescent="0.2">
      <c r="A319" t="str">
        <f t="shared" si="4"/>
        <v>ciiu_6619</v>
      </c>
      <c r="B319" t="s">
        <v>3012</v>
      </c>
      <c r="C319" t="s">
        <v>3013</v>
      </c>
    </row>
    <row r="320" spans="1:3" x14ac:dyDescent="0.2">
      <c r="A320" t="str">
        <f t="shared" si="4"/>
        <v>ciiu_6621</v>
      </c>
      <c r="B320" t="s">
        <v>3014</v>
      </c>
      <c r="C320" t="s">
        <v>3015</v>
      </c>
    </row>
    <row r="321" spans="1:3" x14ac:dyDescent="0.2">
      <c r="A321" t="str">
        <f t="shared" si="4"/>
        <v>ciiu_6622</v>
      </c>
      <c r="B321" t="s">
        <v>3016</v>
      </c>
      <c r="C321" t="s">
        <v>3017</v>
      </c>
    </row>
    <row r="322" spans="1:3" x14ac:dyDescent="0.2">
      <c r="A322" t="str">
        <f t="shared" ref="A322:A385" si="5">CONCATENATE("ciiu_",B322)</f>
        <v>ciiu_6629</v>
      </c>
      <c r="B322" t="s">
        <v>3018</v>
      </c>
      <c r="C322" t="s">
        <v>3019</v>
      </c>
    </row>
    <row r="323" spans="1:3" x14ac:dyDescent="0.2">
      <c r="A323" t="str">
        <f t="shared" si="5"/>
        <v>ciiu_6630</v>
      </c>
      <c r="B323" t="s">
        <v>3020</v>
      </c>
      <c r="C323" t="s">
        <v>3021</v>
      </c>
    </row>
    <row r="324" spans="1:3" x14ac:dyDescent="0.2">
      <c r="A324" t="str">
        <f t="shared" si="5"/>
        <v>ciiu_6810</v>
      </c>
      <c r="B324" t="s">
        <v>3022</v>
      </c>
      <c r="C324" t="s">
        <v>3023</v>
      </c>
    </row>
    <row r="325" spans="1:3" x14ac:dyDescent="0.2">
      <c r="A325" t="str">
        <f t="shared" si="5"/>
        <v>ciiu_6820</v>
      </c>
      <c r="B325" t="s">
        <v>3024</v>
      </c>
      <c r="C325" t="s">
        <v>3025</v>
      </c>
    </row>
    <row r="326" spans="1:3" x14ac:dyDescent="0.2">
      <c r="A326" t="str">
        <f t="shared" si="5"/>
        <v>ciiu_6910</v>
      </c>
      <c r="B326" t="s">
        <v>3026</v>
      </c>
      <c r="C326" t="s">
        <v>3027</v>
      </c>
    </row>
    <row r="327" spans="1:3" x14ac:dyDescent="0.2">
      <c r="A327" t="str">
        <f t="shared" si="5"/>
        <v>ciiu_6920</v>
      </c>
      <c r="B327" t="s">
        <v>3028</v>
      </c>
      <c r="C327" t="s">
        <v>3029</v>
      </c>
    </row>
    <row r="328" spans="1:3" x14ac:dyDescent="0.2">
      <c r="A328" t="str">
        <f t="shared" si="5"/>
        <v>ciiu_7010</v>
      </c>
      <c r="B328" t="s">
        <v>2314</v>
      </c>
      <c r="C328" t="s">
        <v>3030</v>
      </c>
    </row>
    <row r="329" spans="1:3" x14ac:dyDescent="0.2">
      <c r="A329" t="str">
        <f t="shared" si="5"/>
        <v>ciiu_7020</v>
      </c>
      <c r="B329" t="s">
        <v>2328</v>
      </c>
      <c r="C329" t="s">
        <v>3031</v>
      </c>
    </row>
    <row r="330" spans="1:3" x14ac:dyDescent="0.2">
      <c r="A330" t="str">
        <f t="shared" si="5"/>
        <v>ciiu_7110</v>
      </c>
      <c r="B330" t="s">
        <v>3032</v>
      </c>
      <c r="C330" t="s">
        <v>3033</v>
      </c>
    </row>
    <row r="331" spans="1:3" x14ac:dyDescent="0.2">
      <c r="A331" t="str">
        <f t="shared" si="5"/>
        <v>ciiu_7120</v>
      </c>
      <c r="B331" t="s">
        <v>3034</v>
      </c>
      <c r="C331" t="s">
        <v>3035</v>
      </c>
    </row>
    <row r="332" spans="1:3" x14ac:dyDescent="0.2">
      <c r="A332" t="str">
        <f t="shared" si="5"/>
        <v>ciiu_7210</v>
      </c>
      <c r="B332" t="s">
        <v>3036</v>
      </c>
      <c r="C332" t="s">
        <v>3037</v>
      </c>
    </row>
    <row r="333" spans="1:3" x14ac:dyDescent="0.2">
      <c r="A333" t="str">
        <f t="shared" si="5"/>
        <v>ciiu_7220</v>
      </c>
      <c r="B333" t="s">
        <v>3038</v>
      </c>
      <c r="C333" t="s">
        <v>3039</v>
      </c>
    </row>
    <row r="334" spans="1:3" x14ac:dyDescent="0.2">
      <c r="A334" t="str">
        <f t="shared" si="5"/>
        <v>ciiu_7310</v>
      </c>
      <c r="B334" t="s">
        <v>3040</v>
      </c>
      <c r="C334" t="s">
        <v>3041</v>
      </c>
    </row>
    <row r="335" spans="1:3" x14ac:dyDescent="0.2">
      <c r="A335" t="str">
        <f t="shared" si="5"/>
        <v>ciiu_7320</v>
      </c>
      <c r="B335" t="s">
        <v>3042</v>
      </c>
      <c r="C335" t="s">
        <v>3043</v>
      </c>
    </row>
    <row r="336" spans="1:3" x14ac:dyDescent="0.2">
      <c r="A336" t="str">
        <f t="shared" si="5"/>
        <v>ciiu_7410</v>
      </c>
      <c r="B336" t="s">
        <v>3044</v>
      </c>
      <c r="C336" t="s">
        <v>3045</v>
      </c>
    </row>
    <row r="337" spans="1:3" x14ac:dyDescent="0.2">
      <c r="A337" t="str">
        <f t="shared" si="5"/>
        <v>ciiu_7420</v>
      </c>
      <c r="B337" t="s">
        <v>3046</v>
      </c>
      <c r="C337" t="s">
        <v>3047</v>
      </c>
    </row>
    <row r="338" spans="1:3" x14ac:dyDescent="0.2">
      <c r="A338" t="str">
        <f t="shared" si="5"/>
        <v>ciiu_7490</v>
      </c>
      <c r="B338" t="s">
        <v>3048</v>
      </c>
      <c r="C338" t="s">
        <v>3049</v>
      </c>
    </row>
    <row r="339" spans="1:3" x14ac:dyDescent="0.2">
      <c r="A339" t="str">
        <f t="shared" si="5"/>
        <v>ciiu_7500</v>
      </c>
      <c r="B339" t="s">
        <v>3050</v>
      </c>
      <c r="C339" t="s">
        <v>3051</v>
      </c>
    </row>
    <row r="340" spans="1:3" x14ac:dyDescent="0.2">
      <c r="A340" t="str">
        <f t="shared" si="5"/>
        <v>ciiu_7710</v>
      </c>
      <c r="B340" t="s">
        <v>3052</v>
      </c>
      <c r="C340" t="s">
        <v>3053</v>
      </c>
    </row>
    <row r="341" spans="1:3" x14ac:dyDescent="0.2">
      <c r="A341" t="str">
        <f t="shared" si="5"/>
        <v>ciiu_7721</v>
      </c>
      <c r="B341" t="s">
        <v>3054</v>
      </c>
      <c r="C341" t="s">
        <v>3055</v>
      </c>
    </row>
    <row r="342" spans="1:3" x14ac:dyDescent="0.2">
      <c r="A342" t="str">
        <f t="shared" si="5"/>
        <v>ciiu_7722</v>
      </c>
      <c r="B342" t="s">
        <v>3056</v>
      </c>
      <c r="C342" t="s">
        <v>3057</v>
      </c>
    </row>
    <row r="343" spans="1:3" x14ac:dyDescent="0.2">
      <c r="A343" t="str">
        <f t="shared" si="5"/>
        <v>ciiu_7729</v>
      </c>
      <c r="B343" t="s">
        <v>3058</v>
      </c>
      <c r="C343" t="s">
        <v>3059</v>
      </c>
    </row>
    <row r="344" spans="1:3" x14ac:dyDescent="0.2">
      <c r="A344" t="str">
        <f t="shared" si="5"/>
        <v>ciiu_7730</v>
      </c>
      <c r="B344" t="s">
        <v>3060</v>
      </c>
      <c r="C344" t="s">
        <v>3061</v>
      </c>
    </row>
    <row r="345" spans="1:3" x14ac:dyDescent="0.2">
      <c r="A345" t="str">
        <f t="shared" si="5"/>
        <v>ciiu_7740</v>
      </c>
      <c r="B345" t="s">
        <v>3062</v>
      </c>
      <c r="C345" t="s">
        <v>3063</v>
      </c>
    </row>
    <row r="346" spans="1:3" x14ac:dyDescent="0.2">
      <c r="A346" t="str">
        <f t="shared" si="5"/>
        <v>ciiu_7810</v>
      </c>
      <c r="B346" t="s">
        <v>3064</v>
      </c>
      <c r="C346" t="s">
        <v>3065</v>
      </c>
    </row>
    <row r="347" spans="1:3" x14ac:dyDescent="0.2">
      <c r="A347" t="str">
        <f t="shared" si="5"/>
        <v>ciiu_7820</v>
      </c>
      <c r="B347" t="s">
        <v>3066</v>
      </c>
      <c r="C347" t="s">
        <v>3067</v>
      </c>
    </row>
    <row r="348" spans="1:3" x14ac:dyDescent="0.2">
      <c r="A348" t="str">
        <f t="shared" si="5"/>
        <v>ciiu_7830</v>
      </c>
      <c r="B348" t="s">
        <v>3068</v>
      </c>
      <c r="C348" t="s">
        <v>3069</v>
      </c>
    </row>
    <row r="349" spans="1:3" x14ac:dyDescent="0.2">
      <c r="A349" t="str">
        <f t="shared" si="5"/>
        <v>ciiu_7911</v>
      </c>
      <c r="B349" t="s">
        <v>3070</v>
      </c>
      <c r="C349" t="s">
        <v>3071</v>
      </c>
    </row>
    <row r="350" spans="1:3" x14ac:dyDescent="0.2">
      <c r="A350" t="str">
        <f t="shared" si="5"/>
        <v>ciiu_7912</v>
      </c>
      <c r="B350" t="s">
        <v>3072</v>
      </c>
      <c r="C350" t="s">
        <v>3073</v>
      </c>
    </row>
    <row r="351" spans="1:3" x14ac:dyDescent="0.2">
      <c r="A351" t="str">
        <f t="shared" si="5"/>
        <v>ciiu_7990</v>
      </c>
      <c r="B351" t="s">
        <v>3074</v>
      </c>
      <c r="C351" t="s">
        <v>3075</v>
      </c>
    </row>
    <row r="352" spans="1:3" x14ac:dyDescent="0.2">
      <c r="A352" t="str">
        <f t="shared" si="5"/>
        <v>ciiu_8010</v>
      </c>
      <c r="B352" t="s">
        <v>3076</v>
      </c>
      <c r="C352" t="s">
        <v>3077</v>
      </c>
    </row>
    <row r="353" spans="1:3" x14ac:dyDescent="0.2">
      <c r="A353" t="str">
        <f t="shared" si="5"/>
        <v>ciiu_8020</v>
      </c>
      <c r="B353" t="s">
        <v>3078</v>
      </c>
      <c r="C353" t="s">
        <v>3079</v>
      </c>
    </row>
    <row r="354" spans="1:3" x14ac:dyDescent="0.2">
      <c r="A354" t="str">
        <f t="shared" si="5"/>
        <v>ciiu_8030</v>
      </c>
      <c r="B354" t="s">
        <v>3080</v>
      </c>
      <c r="C354" t="s">
        <v>3081</v>
      </c>
    </row>
    <row r="355" spans="1:3" x14ac:dyDescent="0.2">
      <c r="A355" t="str">
        <f t="shared" si="5"/>
        <v>ciiu_8110</v>
      </c>
      <c r="B355" t="s">
        <v>3082</v>
      </c>
      <c r="C355" t="s">
        <v>3083</v>
      </c>
    </row>
    <row r="356" spans="1:3" x14ac:dyDescent="0.2">
      <c r="A356" t="str">
        <f t="shared" si="5"/>
        <v>ciiu_8121</v>
      </c>
      <c r="B356" t="s">
        <v>3084</v>
      </c>
      <c r="C356" t="s">
        <v>3085</v>
      </c>
    </row>
    <row r="357" spans="1:3" x14ac:dyDescent="0.2">
      <c r="A357" t="str">
        <f t="shared" si="5"/>
        <v>ciiu_8129</v>
      </c>
      <c r="B357" t="s">
        <v>3086</v>
      </c>
      <c r="C357" t="s">
        <v>3087</v>
      </c>
    </row>
    <row r="358" spans="1:3" x14ac:dyDescent="0.2">
      <c r="A358" t="str">
        <f t="shared" si="5"/>
        <v>ciiu_8130</v>
      </c>
      <c r="B358" t="s">
        <v>3088</v>
      </c>
      <c r="C358" t="s">
        <v>3089</v>
      </c>
    </row>
    <row r="359" spans="1:3" x14ac:dyDescent="0.2">
      <c r="A359" t="str">
        <f t="shared" si="5"/>
        <v>ciiu_8211</v>
      </c>
      <c r="B359" t="s">
        <v>3090</v>
      </c>
      <c r="C359" t="s">
        <v>3091</v>
      </c>
    </row>
    <row r="360" spans="1:3" x14ac:dyDescent="0.2">
      <c r="A360" t="str">
        <f t="shared" si="5"/>
        <v>ciiu_8219</v>
      </c>
      <c r="B360" t="s">
        <v>3092</v>
      </c>
      <c r="C360" t="s">
        <v>3093</v>
      </c>
    </row>
    <row r="361" spans="1:3" x14ac:dyDescent="0.2">
      <c r="A361" t="str">
        <f t="shared" si="5"/>
        <v>ciiu_8220</v>
      </c>
      <c r="B361" t="s">
        <v>3094</v>
      </c>
      <c r="C361" t="s">
        <v>3095</v>
      </c>
    </row>
    <row r="362" spans="1:3" x14ac:dyDescent="0.2">
      <c r="A362" t="str">
        <f t="shared" si="5"/>
        <v>ciiu_8230</v>
      </c>
      <c r="B362" t="s">
        <v>3096</v>
      </c>
      <c r="C362" t="s">
        <v>3097</v>
      </c>
    </row>
    <row r="363" spans="1:3" x14ac:dyDescent="0.2">
      <c r="A363" t="str">
        <f t="shared" si="5"/>
        <v>ciiu_8291</v>
      </c>
      <c r="B363" t="s">
        <v>3098</v>
      </c>
      <c r="C363" t="s">
        <v>3099</v>
      </c>
    </row>
    <row r="364" spans="1:3" x14ac:dyDescent="0.2">
      <c r="A364" t="str">
        <f t="shared" si="5"/>
        <v>ciiu_8292</v>
      </c>
      <c r="B364" t="s">
        <v>3100</v>
      </c>
      <c r="C364" t="s">
        <v>3101</v>
      </c>
    </row>
    <row r="365" spans="1:3" x14ac:dyDescent="0.2">
      <c r="A365" t="str">
        <f t="shared" si="5"/>
        <v>ciiu_8299</v>
      </c>
      <c r="B365" t="s">
        <v>3102</v>
      </c>
      <c r="C365" t="s">
        <v>3103</v>
      </c>
    </row>
    <row r="366" spans="1:3" x14ac:dyDescent="0.2">
      <c r="A366" t="str">
        <f t="shared" si="5"/>
        <v>ciiu_8411</v>
      </c>
      <c r="B366" t="s">
        <v>3104</v>
      </c>
      <c r="C366" t="s">
        <v>3105</v>
      </c>
    </row>
    <row r="367" spans="1:3" x14ac:dyDescent="0.2">
      <c r="A367" t="str">
        <f t="shared" si="5"/>
        <v>ciiu_8412</v>
      </c>
      <c r="B367" t="s">
        <v>3106</v>
      </c>
      <c r="C367" t="s">
        <v>3107</v>
      </c>
    </row>
    <row r="368" spans="1:3" x14ac:dyDescent="0.2">
      <c r="A368" t="str">
        <f t="shared" si="5"/>
        <v>ciiu_8413</v>
      </c>
      <c r="B368" t="s">
        <v>3108</v>
      </c>
      <c r="C368" t="s">
        <v>3109</v>
      </c>
    </row>
    <row r="369" spans="1:3" x14ac:dyDescent="0.2">
      <c r="A369" t="str">
        <f t="shared" si="5"/>
        <v>ciiu_8421</v>
      </c>
      <c r="B369" t="s">
        <v>3110</v>
      </c>
      <c r="C369" t="s">
        <v>3111</v>
      </c>
    </row>
    <row r="370" spans="1:3" x14ac:dyDescent="0.2">
      <c r="A370" t="str">
        <f t="shared" si="5"/>
        <v>ciiu_8422</v>
      </c>
      <c r="B370" t="s">
        <v>3112</v>
      </c>
      <c r="C370" t="s">
        <v>3113</v>
      </c>
    </row>
    <row r="371" spans="1:3" x14ac:dyDescent="0.2">
      <c r="A371" t="str">
        <f t="shared" si="5"/>
        <v>ciiu_8423</v>
      </c>
      <c r="B371" t="s">
        <v>3114</v>
      </c>
      <c r="C371" t="s">
        <v>3115</v>
      </c>
    </row>
    <row r="372" spans="1:3" x14ac:dyDescent="0.2">
      <c r="A372" t="str">
        <f t="shared" si="5"/>
        <v>ciiu_8430</v>
      </c>
      <c r="B372" t="s">
        <v>3116</v>
      </c>
      <c r="C372" t="s">
        <v>3117</v>
      </c>
    </row>
    <row r="373" spans="1:3" x14ac:dyDescent="0.2">
      <c r="A373" t="str">
        <f t="shared" si="5"/>
        <v>ciiu_8510</v>
      </c>
      <c r="B373" t="s">
        <v>3118</v>
      </c>
      <c r="C373" t="s">
        <v>3119</v>
      </c>
    </row>
    <row r="374" spans="1:3" x14ac:dyDescent="0.2">
      <c r="A374" t="str">
        <f t="shared" si="5"/>
        <v>ciiu_8521</v>
      </c>
      <c r="B374" t="s">
        <v>3120</v>
      </c>
      <c r="C374" t="s">
        <v>3121</v>
      </c>
    </row>
    <row r="375" spans="1:3" x14ac:dyDescent="0.2">
      <c r="A375" t="str">
        <f t="shared" si="5"/>
        <v>ciiu_8522</v>
      </c>
      <c r="B375" t="s">
        <v>3122</v>
      </c>
      <c r="C375" t="s">
        <v>3123</v>
      </c>
    </row>
    <row r="376" spans="1:3" x14ac:dyDescent="0.2">
      <c r="A376" t="str">
        <f t="shared" si="5"/>
        <v>ciiu_8530</v>
      </c>
      <c r="B376" t="s">
        <v>3124</v>
      </c>
      <c r="C376" t="s">
        <v>3125</v>
      </c>
    </row>
    <row r="377" spans="1:3" x14ac:dyDescent="0.2">
      <c r="A377" t="str">
        <f t="shared" si="5"/>
        <v>ciiu_8541</v>
      </c>
      <c r="B377" t="s">
        <v>3126</v>
      </c>
      <c r="C377" t="s">
        <v>3127</v>
      </c>
    </row>
    <row r="378" spans="1:3" x14ac:dyDescent="0.2">
      <c r="A378" t="str">
        <f t="shared" si="5"/>
        <v>ciiu_8542</v>
      </c>
      <c r="B378" t="s">
        <v>3128</v>
      </c>
      <c r="C378" t="s">
        <v>3129</v>
      </c>
    </row>
    <row r="379" spans="1:3" x14ac:dyDescent="0.2">
      <c r="A379" t="str">
        <f t="shared" si="5"/>
        <v>ciiu_8549</v>
      </c>
      <c r="B379" t="s">
        <v>3130</v>
      </c>
      <c r="C379" t="s">
        <v>3131</v>
      </c>
    </row>
    <row r="380" spans="1:3" x14ac:dyDescent="0.2">
      <c r="A380" t="str">
        <f t="shared" si="5"/>
        <v>ciiu_8550</v>
      </c>
      <c r="B380" t="s">
        <v>3132</v>
      </c>
      <c r="C380" t="s">
        <v>3133</v>
      </c>
    </row>
    <row r="381" spans="1:3" x14ac:dyDescent="0.2">
      <c r="A381" t="str">
        <f t="shared" si="5"/>
        <v>ciiu_8610</v>
      </c>
      <c r="B381" t="s">
        <v>3134</v>
      </c>
      <c r="C381" t="s">
        <v>3135</v>
      </c>
    </row>
    <row r="382" spans="1:3" x14ac:dyDescent="0.2">
      <c r="A382" t="str">
        <f t="shared" si="5"/>
        <v>ciiu_8620</v>
      </c>
      <c r="B382" t="s">
        <v>3136</v>
      </c>
      <c r="C382" t="s">
        <v>3137</v>
      </c>
    </row>
    <row r="383" spans="1:3" x14ac:dyDescent="0.2">
      <c r="A383" t="str">
        <f t="shared" si="5"/>
        <v>ciiu_8690</v>
      </c>
      <c r="B383" t="s">
        <v>3138</v>
      </c>
      <c r="C383" t="s">
        <v>3139</v>
      </c>
    </row>
    <row r="384" spans="1:3" x14ac:dyDescent="0.2">
      <c r="A384" t="str">
        <f t="shared" si="5"/>
        <v>ciiu_8710</v>
      </c>
      <c r="B384" t="s">
        <v>3140</v>
      </c>
      <c r="C384" t="s">
        <v>3141</v>
      </c>
    </row>
    <row r="385" spans="1:3" x14ac:dyDescent="0.2">
      <c r="A385" t="str">
        <f t="shared" si="5"/>
        <v>ciiu_8720</v>
      </c>
      <c r="B385" t="s">
        <v>3142</v>
      </c>
      <c r="C385" t="s">
        <v>3143</v>
      </c>
    </row>
    <row r="386" spans="1:3" x14ac:dyDescent="0.2">
      <c r="A386" t="str">
        <f t="shared" ref="A386:A449" si="6">CONCATENATE("ciiu_",B386)</f>
        <v>ciiu_8730</v>
      </c>
      <c r="B386" t="s">
        <v>3144</v>
      </c>
      <c r="C386" t="s">
        <v>3145</v>
      </c>
    </row>
    <row r="387" spans="1:3" x14ac:dyDescent="0.2">
      <c r="A387" t="str">
        <f t="shared" si="6"/>
        <v>ciiu_8790</v>
      </c>
      <c r="B387" t="s">
        <v>3146</v>
      </c>
      <c r="C387" t="s">
        <v>3147</v>
      </c>
    </row>
    <row r="388" spans="1:3" x14ac:dyDescent="0.2">
      <c r="A388" t="str">
        <f t="shared" si="6"/>
        <v>ciiu_8810</v>
      </c>
      <c r="B388" t="s">
        <v>3148</v>
      </c>
      <c r="C388" t="s">
        <v>3149</v>
      </c>
    </row>
    <row r="389" spans="1:3" x14ac:dyDescent="0.2">
      <c r="A389" t="str">
        <f t="shared" si="6"/>
        <v>ciiu_8890</v>
      </c>
      <c r="B389" t="s">
        <v>3150</v>
      </c>
      <c r="C389" t="s">
        <v>3151</v>
      </c>
    </row>
    <row r="390" spans="1:3" x14ac:dyDescent="0.2">
      <c r="A390" t="str">
        <f t="shared" si="6"/>
        <v>ciiu_9000</v>
      </c>
      <c r="B390" t="s">
        <v>3152</v>
      </c>
      <c r="C390" t="s">
        <v>3153</v>
      </c>
    </row>
    <row r="391" spans="1:3" x14ac:dyDescent="0.2">
      <c r="A391" t="str">
        <f t="shared" si="6"/>
        <v>ciiu_9101</v>
      </c>
      <c r="B391" t="s">
        <v>3154</v>
      </c>
      <c r="C391" t="s">
        <v>3155</v>
      </c>
    </row>
    <row r="392" spans="1:3" x14ac:dyDescent="0.2">
      <c r="A392" t="str">
        <f t="shared" si="6"/>
        <v>ciiu_9102</v>
      </c>
      <c r="B392" t="s">
        <v>3156</v>
      </c>
      <c r="C392" t="s">
        <v>3157</v>
      </c>
    </row>
    <row r="393" spans="1:3" x14ac:dyDescent="0.2">
      <c r="A393" t="str">
        <f t="shared" si="6"/>
        <v>ciiu_9103</v>
      </c>
      <c r="B393" t="s">
        <v>3158</v>
      </c>
      <c r="C393" t="s">
        <v>3159</v>
      </c>
    </row>
    <row r="394" spans="1:3" x14ac:dyDescent="0.2">
      <c r="A394" t="str">
        <f t="shared" si="6"/>
        <v>ciiu_9200</v>
      </c>
      <c r="B394" t="s">
        <v>3160</v>
      </c>
      <c r="C394" t="s">
        <v>3161</v>
      </c>
    </row>
    <row r="395" spans="1:3" x14ac:dyDescent="0.2">
      <c r="A395" t="str">
        <f t="shared" si="6"/>
        <v>ciiu_9311</v>
      </c>
      <c r="B395" t="s">
        <v>3162</v>
      </c>
      <c r="C395" t="s">
        <v>3163</v>
      </c>
    </row>
    <row r="396" spans="1:3" x14ac:dyDescent="0.2">
      <c r="A396" t="str">
        <f t="shared" si="6"/>
        <v>ciiu_9312</v>
      </c>
      <c r="B396" t="s">
        <v>3164</v>
      </c>
      <c r="C396" t="s">
        <v>3165</v>
      </c>
    </row>
    <row r="397" spans="1:3" x14ac:dyDescent="0.2">
      <c r="A397" t="str">
        <f t="shared" si="6"/>
        <v>ciiu_9319</v>
      </c>
      <c r="B397" t="s">
        <v>3166</v>
      </c>
      <c r="C397" t="s">
        <v>3167</v>
      </c>
    </row>
    <row r="398" spans="1:3" x14ac:dyDescent="0.2">
      <c r="A398" t="str">
        <f t="shared" si="6"/>
        <v>ciiu_9321</v>
      </c>
      <c r="B398" t="s">
        <v>3168</v>
      </c>
      <c r="C398" t="s">
        <v>3169</v>
      </c>
    </row>
    <row r="399" spans="1:3" x14ac:dyDescent="0.2">
      <c r="A399" t="str">
        <f t="shared" si="6"/>
        <v>ciiu_9329</v>
      </c>
      <c r="B399" t="s">
        <v>3170</v>
      </c>
      <c r="C399" t="s">
        <v>3171</v>
      </c>
    </row>
    <row r="400" spans="1:3" x14ac:dyDescent="0.2">
      <c r="A400" t="str">
        <f t="shared" si="6"/>
        <v>ciiu_9411</v>
      </c>
      <c r="B400" t="s">
        <v>3172</v>
      </c>
      <c r="C400" t="s">
        <v>3173</v>
      </c>
    </row>
    <row r="401" spans="1:3" x14ac:dyDescent="0.2">
      <c r="A401" t="str">
        <f t="shared" si="6"/>
        <v>ciiu_9412</v>
      </c>
      <c r="B401" t="s">
        <v>3174</v>
      </c>
      <c r="C401" t="s">
        <v>3175</v>
      </c>
    </row>
    <row r="402" spans="1:3" x14ac:dyDescent="0.2">
      <c r="A402" t="str">
        <f t="shared" si="6"/>
        <v>ciiu_9420</v>
      </c>
      <c r="B402" t="s">
        <v>3176</v>
      </c>
      <c r="C402" t="s">
        <v>3177</v>
      </c>
    </row>
    <row r="403" spans="1:3" x14ac:dyDescent="0.2">
      <c r="A403" t="str">
        <f t="shared" si="6"/>
        <v>ciiu_9491</v>
      </c>
      <c r="B403" t="s">
        <v>3178</v>
      </c>
      <c r="C403" t="s">
        <v>3179</v>
      </c>
    </row>
    <row r="404" spans="1:3" x14ac:dyDescent="0.2">
      <c r="A404" t="str">
        <f t="shared" si="6"/>
        <v>ciiu_9492</v>
      </c>
      <c r="B404" t="s">
        <v>3180</v>
      </c>
      <c r="C404" t="s">
        <v>3181</v>
      </c>
    </row>
    <row r="405" spans="1:3" x14ac:dyDescent="0.2">
      <c r="A405" t="str">
        <f t="shared" si="6"/>
        <v>ciiu_9499</v>
      </c>
      <c r="B405" t="s">
        <v>3182</v>
      </c>
      <c r="C405" t="s">
        <v>3183</v>
      </c>
    </row>
    <row r="406" spans="1:3" x14ac:dyDescent="0.2">
      <c r="A406" t="str">
        <f t="shared" si="6"/>
        <v>ciiu_9511</v>
      </c>
      <c r="B406" t="s">
        <v>3184</v>
      </c>
      <c r="C406" t="s">
        <v>3185</v>
      </c>
    </row>
    <row r="407" spans="1:3" x14ac:dyDescent="0.2">
      <c r="A407" t="str">
        <f t="shared" si="6"/>
        <v>ciiu_9512</v>
      </c>
      <c r="B407" t="s">
        <v>3186</v>
      </c>
      <c r="C407" t="s">
        <v>3187</v>
      </c>
    </row>
    <row r="408" spans="1:3" x14ac:dyDescent="0.2">
      <c r="A408" t="str">
        <f t="shared" si="6"/>
        <v>ciiu_9521</v>
      </c>
      <c r="B408" t="s">
        <v>3188</v>
      </c>
      <c r="C408" t="s">
        <v>3189</v>
      </c>
    </row>
    <row r="409" spans="1:3" x14ac:dyDescent="0.2">
      <c r="A409" t="str">
        <f t="shared" si="6"/>
        <v>ciiu_9522</v>
      </c>
      <c r="B409" t="s">
        <v>3190</v>
      </c>
      <c r="C409" t="s">
        <v>3191</v>
      </c>
    </row>
    <row r="410" spans="1:3" x14ac:dyDescent="0.2">
      <c r="A410" t="str">
        <f t="shared" si="6"/>
        <v>ciiu_9523</v>
      </c>
      <c r="B410" t="s">
        <v>3192</v>
      </c>
      <c r="C410" t="s">
        <v>3193</v>
      </c>
    </row>
    <row r="411" spans="1:3" x14ac:dyDescent="0.2">
      <c r="A411" t="str">
        <f t="shared" si="6"/>
        <v>ciiu_9524</v>
      </c>
      <c r="B411" t="s">
        <v>3194</v>
      </c>
      <c r="C411" t="s">
        <v>3195</v>
      </c>
    </row>
    <row r="412" spans="1:3" x14ac:dyDescent="0.2">
      <c r="A412" t="str">
        <f t="shared" si="6"/>
        <v>ciiu_9529</v>
      </c>
      <c r="B412" t="s">
        <v>3196</v>
      </c>
      <c r="C412" t="s">
        <v>3197</v>
      </c>
    </row>
    <row r="413" spans="1:3" x14ac:dyDescent="0.2">
      <c r="A413" t="str">
        <f t="shared" si="6"/>
        <v>ciiu_9601</v>
      </c>
      <c r="B413" t="s">
        <v>3198</v>
      </c>
      <c r="C413" t="s">
        <v>3199</v>
      </c>
    </row>
    <row r="414" spans="1:3" x14ac:dyDescent="0.2">
      <c r="A414" t="str">
        <f t="shared" si="6"/>
        <v>ciiu_9602</v>
      </c>
      <c r="B414" t="s">
        <v>3200</v>
      </c>
      <c r="C414" t="s">
        <v>3201</v>
      </c>
    </row>
    <row r="415" spans="1:3" x14ac:dyDescent="0.2">
      <c r="A415" t="str">
        <f t="shared" si="6"/>
        <v>ciiu_9603</v>
      </c>
      <c r="B415" t="s">
        <v>3202</v>
      </c>
      <c r="C415" t="s">
        <v>3203</v>
      </c>
    </row>
    <row r="416" spans="1:3" x14ac:dyDescent="0.2">
      <c r="A416" t="str">
        <f t="shared" si="6"/>
        <v>ciiu_9609</v>
      </c>
      <c r="B416" t="s">
        <v>3204</v>
      </c>
      <c r="C416" t="s">
        <v>3205</v>
      </c>
    </row>
    <row r="417" spans="1:3" x14ac:dyDescent="0.2">
      <c r="A417" t="str">
        <f t="shared" si="6"/>
        <v>ciiu_9700</v>
      </c>
      <c r="B417" t="s">
        <v>3206</v>
      </c>
      <c r="C417" t="s">
        <v>3207</v>
      </c>
    </row>
    <row r="418" spans="1:3" ht="15.75" x14ac:dyDescent="0.25">
      <c r="A418" t="str">
        <f t="shared" si="6"/>
        <v>ciiu_9810</v>
      </c>
      <c r="B418" t="s">
        <v>3208</v>
      </c>
      <c r="C418" t="s">
        <v>3209</v>
      </c>
    </row>
    <row r="419" spans="1:3" ht="15.75" x14ac:dyDescent="0.25">
      <c r="A419" t="str">
        <f t="shared" si="6"/>
        <v>ciiu_9820</v>
      </c>
      <c r="B419" t="s">
        <v>3210</v>
      </c>
      <c r="C419" t="s">
        <v>3211</v>
      </c>
    </row>
    <row r="420" spans="1:3" x14ac:dyDescent="0.2">
      <c r="A420" t="str">
        <f t="shared" si="6"/>
        <v>ciiu_9900</v>
      </c>
      <c r="B420" t="s">
        <v>3212</v>
      </c>
      <c r="C420" t="s">
        <v>3213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Roman,Normal"&amp;12&amp;A</oddHeader>
    <oddFooter>&amp;C&amp;"Times New Roman,Normal"&amp;12Página &amp;P</odd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D1576"/>
  <sheetViews>
    <sheetView tabSelected="1" topLeftCell="A1570" zoomScale="120" zoomScaleNormal="120" workbookViewId="0">
      <selection activeCell="A235" sqref="A235:XFD235"/>
    </sheetView>
  </sheetViews>
  <sheetFormatPr baseColWidth="10" defaultColWidth="11.85546875" defaultRowHeight="12.75" x14ac:dyDescent="0.2"/>
  <cols>
    <col min="1" max="1" width="17.28515625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tr">
        <f t="shared" ref="A2:A65" si="0">CONCATENATE("return_code_",B2)</f>
        <v>return_code_0000</v>
      </c>
      <c r="B2" t="s">
        <v>3214</v>
      </c>
      <c r="C2" t="s">
        <v>3215</v>
      </c>
    </row>
    <row r="3" spans="1:4" x14ac:dyDescent="0.2">
      <c r="A3" t="str">
        <f t="shared" si="0"/>
        <v>return_code_0100</v>
      </c>
      <c r="B3" t="s">
        <v>3216</v>
      </c>
      <c r="C3" t="s">
        <v>3217</v>
      </c>
    </row>
    <row r="4" spans="1:4" x14ac:dyDescent="0.2">
      <c r="A4" t="str">
        <f t="shared" si="0"/>
        <v>return_code_0101</v>
      </c>
      <c r="B4" t="s">
        <v>1966</v>
      </c>
      <c r="C4" t="s">
        <v>3218</v>
      </c>
    </row>
    <row r="5" spans="1:4" x14ac:dyDescent="0.2">
      <c r="A5" t="str">
        <f t="shared" si="0"/>
        <v>return_code_0102</v>
      </c>
      <c r="B5" t="s">
        <v>1969</v>
      </c>
      <c r="C5" t="s">
        <v>3219</v>
      </c>
    </row>
    <row r="6" spans="1:4" x14ac:dyDescent="0.2">
      <c r="A6" t="str">
        <f t="shared" si="0"/>
        <v>return_code_0103</v>
      </c>
      <c r="B6" t="s">
        <v>1970</v>
      </c>
      <c r="C6" t="s">
        <v>3220</v>
      </c>
    </row>
    <row r="7" spans="1:4" x14ac:dyDescent="0.2">
      <c r="A7" t="str">
        <f t="shared" si="0"/>
        <v>return_code_0104</v>
      </c>
      <c r="B7" t="s">
        <v>3221</v>
      </c>
      <c r="C7" t="s">
        <v>3222</v>
      </c>
    </row>
    <row r="8" spans="1:4" x14ac:dyDescent="0.2">
      <c r="A8" t="str">
        <f t="shared" si="0"/>
        <v>return_code_0105</v>
      </c>
      <c r="B8" t="s">
        <v>3223</v>
      </c>
      <c r="C8" t="s">
        <v>3224</v>
      </c>
    </row>
    <row r="9" spans="1:4" x14ac:dyDescent="0.2">
      <c r="A9" t="str">
        <f t="shared" si="0"/>
        <v>return_code_0106</v>
      </c>
      <c r="B9" t="s">
        <v>3225</v>
      </c>
      <c r="C9" t="s">
        <v>3226</v>
      </c>
    </row>
    <row r="10" spans="1:4" x14ac:dyDescent="0.2">
      <c r="A10" t="str">
        <f t="shared" si="0"/>
        <v>return_code_0109</v>
      </c>
      <c r="B10" t="s">
        <v>3227</v>
      </c>
      <c r="C10" t="s">
        <v>3228</v>
      </c>
    </row>
    <row r="11" spans="1:4" x14ac:dyDescent="0.2">
      <c r="A11" t="str">
        <f t="shared" si="0"/>
        <v>return_code_0110</v>
      </c>
      <c r="B11" t="s">
        <v>1972</v>
      </c>
      <c r="C11" t="s">
        <v>3229</v>
      </c>
    </row>
    <row r="12" spans="1:4" x14ac:dyDescent="0.2">
      <c r="A12" t="str">
        <f t="shared" si="0"/>
        <v>return_code_0111</v>
      </c>
      <c r="B12" t="s">
        <v>1974</v>
      </c>
      <c r="C12" t="s">
        <v>3230</v>
      </c>
    </row>
    <row r="13" spans="1:4" x14ac:dyDescent="0.2">
      <c r="A13" t="str">
        <f t="shared" si="0"/>
        <v>return_code_0112</v>
      </c>
      <c r="B13" t="s">
        <v>1976</v>
      </c>
      <c r="C13" t="s">
        <v>3231</v>
      </c>
    </row>
    <row r="14" spans="1:4" x14ac:dyDescent="0.2">
      <c r="A14" t="str">
        <f t="shared" si="0"/>
        <v>return_code_0113</v>
      </c>
      <c r="B14" t="s">
        <v>1979</v>
      </c>
      <c r="C14" t="s">
        <v>3232</v>
      </c>
    </row>
    <row r="15" spans="1:4" x14ac:dyDescent="0.2">
      <c r="A15" t="str">
        <f t="shared" si="0"/>
        <v>return_code_0125</v>
      </c>
      <c r="B15" t="s">
        <v>2408</v>
      </c>
      <c r="C15" t="s">
        <v>3233</v>
      </c>
    </row>
    <row r="16" spans="1:4" x14ac:dyDescent="0.2">
      <c r="A16" t="str">
        <f t="shared" si="0"/>
        <v>return_code_0126</v>
      </c>
      <c r="B16" t="s">
        <v>2410</v>
      </c>
      <c r="C16" t="s">
        <v>3234</v>
      </c>
    </row>
    <row r="17" spans="1:3" x14ac:dyDescent="0.2">
      <c r="A17" t="str">
        <f t="shared" si="0"/>
        <v>return_code_0127</v>
      </c>
      <c r="B17" t="s">
        <v>2412</v>
      </c>
      <c r="C17" t="s">
        <v>3235</v>
      </c>
    </row>
    <row r="18" spans="1:3" x14ac:dyDescent="0.2">
      <c r="A18" t="str">
        <f t="shared" si="0"/>
        <v>return_code_0130</v>
      </c>
      <c r="B18" t="s">
        <v>1989</v>
      </c>
      <c r="C18" t="s">
        <v>3236</v>
      </c>
    </row>
    <row r="19" spans="1:3" x14ac:dyDescent="0.2">
      <c r="A19" t="str">
        <f t="shared" si="0"/>
        <v>return_code_0131</v>
      </c>
      <c r="B19" t="s">
        <v>3237</v>
      </c>
      <c r="C19" t="s">
        <v>3238</v>
      </c>
    </row>
    <row r="20" spans="1:3" x14ac:dyDescent="0.2">
      <c r="A20" t="str">
        <f t="shared" si="0"/>
        <v>return_code_0132</v>
      </c>
      <c r="B20" t="s">
        <v>3239</v>
      </c>
      <c r="C20" t="s">
        <v>3240</v>
      </c>
    </row>
    <row r="21" spans="1:3" x14ac:dyDescent="0.2">
      <c r="A21" t="str">
        <f t="shared" si="0"/>
        <v>return_code_0133</v>
      </c>
      <c r="B21" t="s">
        <v>3241</v>
      </c>
      <c r="C21" t="s">
        <v>3242</v>
      </c>
    </row>
    <row r="22" spans="1:3" x14ac:dyDescent="0.2">
      <c r="A22" t="str">
        <f t="shared" si="0"/>
        <v>return_code_0134</v>
      </c>
      <c r="B22" t="s">
        <v>3243</v>
      </c>
      <c r="C22" t="s">
        <v>3244</v>
      </c>
    </row>
    <row r="23" spans="1:3" x14ac:dyDescent="0.2">
      <c r="A23" t="str">
        <f t="shared" si="0"/>
        <v>return_code_0135</v>
      </c>
      <c r="B23" t="s">
        <v>3245</v>
      </c>
      <c r="C23" t="s">
        <v>3246</v>
      </c>
    </row>
    <row r="24" spans="1:3" x14ac:dyDescent="0.2">
      <c r="A24" t="str">
        <f t="shared" si="0"/>
        <v>return_code_0136</v>
      </c>
      <c r="B24" t="s">
        <v>3247</v>
      </c>
      <c r="C24" t="s">
        <v>3248</v>
      </c>
    </row>
    <row r="25" spans="1:3" x14ac:dyDescent="0.2">
      <c r="A25" t="str">
        <f t="shared" si="0"/>
        <v>return_code_0137</v>
      </c>
      <c r="B25" t="s">
        <v>3249</v>
      </c>
      <c r="C25" t="s">
        <v>3250</v>
      </c>
    </row>
    <row r="26" spans="1:3" x14ac:dyDescent="0.2">
      <c r="A26" t="str">
        <f t="shared" si="0"/>
        <v>return_code_0138</v>
      </c>
      <c r="B26" t="s">
        <v>3251</v>
      </c>
      <c r="C26" t="s">
        <v>3252</v>
      </c>
    </row>
    <row r="27" spans="1:3" x14ac:dyDescent="0.2">
      <c r="A27" t="str">
        <f t="shared" si="0"/>
        <v>return_code_0151</v>
      </c>
      <c r="B27" t="s">
        <v>3253</v>
      </c>
      <c r="C27" t="s">
        <v>3254</v>
      </c>
    </row>
    <row r="28" spans="1:3" x14ac:dyDescent="0.2">
      <c r="A28" t="str">
        <f t="shared" si="0"/>
        <v>return_code_0152</v>
      </c>
      <c r="B28" t="s">
        <v>3255</v>
      </c>
      <c r="C28" t="s">
        <v>3256</v>
      </c>
    </row>
    <row r="29" spans="1:3" x14ac:dyDescent="0.2">
      <c r="A29" t="str">
        <f t="shared" si="0"/>
        <v>return_code_0153</v>
      </c>
      <c r="B29" t="s">
        <v>3257</v>
      </c>
      <c r="C29" t="s">
        <v>3258</v>
      </c>
    </row>
    <row r="30" spans="1:3" x14ac:dyDescent="0.2">
      <c r="A30" t="str">
        <f t="shared" si="0"/>
        <v>return_code_0154</v>
      </c>
      <c r="B30" t="s">
        <v>3259</v>
      </c>
      <c r="C30" t="s">
        <v>3260</v>
      </c>
    </row>
    <row r="31" spans="1:3" x14ac:dyDescent="0.2">
      <c r="A31" t="str">
        <f t="shared" si="0"/>
        <v>return_code_0155</v>
      </c>
      <c r="B31" t="s">
        <v>3261</v>
      </c>
      <c r="C31" t="s">
        <v>3262</v>
      </c>
    </row>
    <row r="32" spans="1:3" x14ac:dyDescent="0.2">
      <c r="A32" t="str">
        <f t="shared" si="0"/>
        <v>return_code_0156</v>
      </c>
      <c r="B32" t="s">
        <v>3263</v>
      </c>
      <c r="C32" t="s">
        <v>3264</v>
      </c>
    </row>
    <row r="33" spans="1:3" x14ac:dyDescent="0.2">
      <c r="A33" t="str">
        <f t="shared" si="0"/>
        <v>return_code_0157</v>
      </c>
      <c r="B33" t="s">
        <v>3265</v>
      </c>
      <c r="C33" t="s">
        <v>3266</v>
      </c>
    </row>
    <row r="34" spans="1:3" x14ac:dyDescent="0.2">
      <c r="A34" t="str">
        <f t="shared" si="0"/>
        <v>return_code_0158</v>
      </c>
      <c r="B34" t="s">
        <v>3267</v>
      </c>
      <c r="C34" t="s">
        <v>3268</v>
      </c>
    </row>
    <row r="35" spans="1:3" x14ac:dyDescent="0.2">
      <c r="A35" t="str">
        <f t="shared" si="0"/>
        <v>return_code_0159</v>
      </c>
      <c r="B35" t="s">
        <v>3269</v>
      </c>
      <c r="C35" t="s">
        <v>3270</v>
      </c>
    </row>
    <row r="36" spans="1:3" x14ac:dyDescent="0.2">
      <c r="A36" t="str">
        <f t="shared" si="0"/>
        <v>return_code_0160</v>
      </c>
      <c r="B36" t="s">
        <v>3271</v>
      </c>
      <c r="C36" t="s">
        <v>3272</v>
      </c>
    </row>
    <row r="37" spans="1:3" x14ac:dyDescent="0.2">
      <c r="A37" t="str">
        <f t="shared" si="0"/>
        <v>return_code_0161</v>
      </c>
      <c r="B37" t="s">
        <v>2434</v>
      </c>
      <c r="C37" t="s">
        <v>3273</v>
      </c>
    </row>
    <row r="38" spans="1:3" x14ac:dyDescent="0.2">
      <c r="A38" t="str">
        <f t="shared" si="0"/>
        <v>return_code_0200</v>
      </c>
      <c r="B38" t="s">
        <v>1991</v>
      </c>
      <c r="C38" t="s">
        <v>3274</v>
      </c>
    </row>
    <row r="39" spans="1:3" x14ac:dyDescent="0.2">
      <c r="A39" t="str">
        <f t="shared" si="0"/>
        <v>return_code_0201</v>
      </c>
      <c r="B39" t="s">
        <v>1993</v>
      </c>
      <c r="C39" t="s">
        <v>3275</v>
      </c>
    </row>
    <row r="40" spans="1:3" x14ac:dyDescent="0.2">
      <c r="A40" t="str">
        <f t="shared" si="0"/>
        <v>return_code_0202</v>
      </c>
      <c r="B40" t="s">
        <v>1995</v>
      </c>
      <c r="C40" t="s">
        <v>3276</v>
      </c>
    </row>
    <row r="41" spans="1:3" x14ac:dyDescent="0.2">
      <c r="A41" t="str">
        <f t="shared" si="0"/>
        <v>return_code_0203</v>
      </c>
      <c r="B41" t="s">
        <v>1998</v>
      </c>
      <c r="C41" t="s">
        <v>3277</v>
      </c>
    </row>
    <row r="42" spans="1:3" x14ac:dyDescent="0.2">
      <c r="A42" t="str">
        <f t="shared" si="0"/>
        <v>return_code_0204</v>
      </c>
      <c r="B42" t="s">
        <v>2000</v>
      </c>
      <c r="C42" t="s">
        <v>3278</v>
      </c>
    </row>
    <row r="43" spans="1:3" x14ac:dyDescent="0.2">
      <c r="A43" t="str">
        <f t="shared" si="0"/>
        <v>return_code_0250</v>
      </c>
      <c r="B43" t="s">
        <v>3279</v>
      </c>
      <c r="C43" t="s">
        <v>3280</v>
      </c>
    </row>
    <row r="44" spans="1:3" x14ac:dyDescent="0.2">
      <c r="A44" t="str">
        <f t="shared" si="0"/>
        <v>return_code_0251</v>
      </c>
      <c r="B44" t="s">
        <v>3281</v>
      </c>
      <c r="C44" t="s">
        <v>3282</v>
      </c>
    </row>
    <row r="45" spans="1:3" x14ac:dyDescent="0.2">
      <c r="A45" t="str">
        <f t="shared" si="0"/>
        <v>return_code_0252</v>
      </c>
      <c r="B45" t="s">
        <v>3283</v>
      </c>
      <c r="C45" t="s">
        <v>3284</v>
      </c>
    </row>
    <row r="46" spans="1:3" x14ac:dyDescent="0.2">
      <c r="A46" t="str">
        <f t="shared" si="0"/>
        <v>return_code_0253</v>
      </c>
      <c r="B46" t="s">
        <v>3285</v>
      </c>
      <c r="C46" t="s">
        <v>3286</v>
      </c>
    </row>
    <row r="47" spans="1:3" x14ac:dyDescent="0.2">
      <c r="A47" t="str">
        <f t="shared" si="0"/>
        <v>return_code_0300</v>
      </c>
      <c r="B47" t="s">
        <v>3287</v>
      </c>
      <c r="C47" t="s">
        <v>3288</v>
      </c>
    </row>
    <row r="48" spans="1:3" x14ac:dyDescent="0.2">
      <c r="A48" t="str">
        <f t="shared" si="0"/>
        <v>return_code_0301</v>
      </c>
      <c r="B48" t="s">
        <v>2010</v>
      </c>
      <c r="C48" t="s">
        <v>3289</v>
      </c>
    </row>
    <row r="49" spans="1:3" x14ac:dyDescent="0.2">
      <c r="A49" t="str">
        <f t="shared" si="0"/>
        <v>return_code_0302</v>
      </c>
      <c r="B49" t="s">
        <v>2012</v>
      </c>
      <c r="C49" t="s">
        <v>3290</v>
      </c>
    </row>
    <row r="50" spans="1:3" x14ac:dyDescent="0.2">
      <c r="A50" t="str">
        <f t="shared" si="0"/>
        <v>return_code_0303</v>
      </c>
      <c r="B50" t="s">
        <v>2014</v>
      </c>
      <c r="C50" t="s">
        <v>3291</v>
      </c>
    </row>
    <row r="51" spans="1:3" x14ac:dyDescent="0.2">
      <c r="A51" t="str">
        <f t="shared" si="0"/>
        <v>return_code_0304</v>
      </c>
      <c r="B51" t="s">
        <v>3292</v>
      </c>
      <c r="C51" t="s">
        <v>3293</v>
      </c>
    </row>
    <row r="52" spans="1:3" x14ac:dyDescent="0.2">
      <c r="A52" t="str">
        <f t="shared" si="0"/>
        <v>return_code_0305</v>
      </c>
      <c r="B52" t="s">
        <v>3294</v>
      </c>
      <c r="C52" t="s">
        <v>3295</v>
      </c>
    </row>
    <row r="53" spans="1:3" x14ac:dyDescent="0.2">
      <c r="A53" t="str">
        <f t="shared" si="0"/>
        <v>return_code_0306</v>
      </c>
      <c r="B53" t="s">
        <v>3296</v>
      </c>
      <c r="C53" t="s">
        <v>3297</v>
      </c>
    </row>
    <row r="54" spans="1:3" x14ac:dyDescent="0.2">
      <c r="A54" t="str">
        <f t="shared" si="0"/>
        <v>return_code_0307</v>
      </c>
      <c r="B54" t="s">
        <v>3298</v>
      </c>
      <c r="C54" t="s">
        <v>3299</v>
      </c>
    </row>
    <row r="55" spans="1:3" x14ac:dyDescent="0.2">
      <c r="A55" t="str">
        <f t="shared" si="0"/>
        <v>return_code_0400</v>
      </c>
      <c r="B55" t="s">
        <v>3300</v>
      </c>
      <c r="C55" t="s">
        <v>3301</v>
      </c>
    </row>
    <row r="56" spans="1:3" x14ac:dyDescent="0.2">
      <c r="A56" t="str">
        <f t="shared" si="0"/>
        <v>return_code_0401</v>
      </c>
      <c r="B56" t="s">
        <v>2016</v>
      </c>
      <c r="C56" t="s">
        <v>3302</v>
      </c>
    </row>
    <row r="57" spans="1:3" x14ac:dyDescent="0.2">
      <c r="A57" t="str">
        <f t="shared" si="0"/>
        <v>return_code_0402</v>
      </c>
      <c r="B57" t="s">
        <v>3303</v>
      </c>
      <c r="C57" t="s">
        <v>3304</v>
      </c>
    </row>
    <row r="58" spans="1:3" x14ac:dyDescent="0.2">
      <c r="A58" t="str">
        <f t="shared" si="0"/>
        <v>return_code_0403</v>
      </c>
      <c r="B58" t="s">
        <v>3305</v>
      </c>
      <c r="C58" t="s">
        <v>3306</v>
      </c>
    </row>
    <row r="59" spans="1:3" x14ac:dyDescent="0.2">
      <c r="A59" t="str">
        <f t="shared" si="0"/>
        <v>return_code_0404</v>
      </c>
      <c r="B59" t="s">
        <v>3307</v>
      </c>
      <c r="C59" t="s">
        <v>3308</v>
      </c>
    </row>
    <row r="60" spans="1:3" x14ac:dyDescent="0.2">
      <c r="A60" t="str">
        <f t="shared" si="0"/>
        <v>return_code_1001</v>
      </c>
      <c r="B60" t="s">
        <v>1736</v>
      </c>
      <c r="C60" t="s">
        <v>3309</v>
      </c>
    </row>
    <row r="61" spans="1:3" x14ac:dyDescent="0.2">
      <c r="A61" t="str">
        <f t="shared" si="0"/>
        <v>return_code_1002</v>
      </c>
      <c r="B61" t="s">
        <v>1738</v>
      </c>
      <c r="C61" t="s">
        <v>3310</v>
      </c>
    </row>
    <row r="62" spans="1:3" x14ac:dyDescent="0.2">
      <c r="A62" t="str">
        <f t="shared" si="0"/>
        <v>return_code_1003</v>
      </c>
      <c r="B62" t="s">
        <v>1740</v>
      </c>
      <c r="C62" t="s">
        <v>3311</v>
      </c>
    </row>
    <row r="63" spans="1:3" x14ac:dyDescent="0.2">
      <c r="A63" t="str">
        <f t="shared" si="0"/>
        <v>return_code_1004</v>
      </c>
      <c r="B63" t="s">
        <v>1742</v>
      </c>
      <c r="C63" t="s">
        <v>3312</v>
      </c>
    </row>
    <row r="64" spans="1:3" x14ac:dyDescent="0.2">
      <c r="A64" t="str">
        <f t="shared" si="0"/>
        <v>return_code_1005</v>
      </c>
      <c r="B64" t="s">
        <v>1744</v>
      </c>
      <c r="C64" t="s">
        <v>3313</v>
      </c>
    </row>
    <row r="65" spans="1:3" x14ac:dyDescent="0.2">
      <c r="A65" t="str">
        <f t="shared" si="0"/>
        <v>return_code_1006</v>
      </c>
      <c r="B65" t="s">
        <v>3314</v>
      </c>
      <c r="C65" t="s">
        <v>3315</v>
      </c>
    </row>
    <row r="66" spans="1:3" x14ac:dyDescent="0.2">
      <c r="A66" t="str">
        <f t="shared" ref="A66:A129" si="1">CONCATENATE("return_code_",B66)</f>
        <v>return_code_1007</v>
      </c>
      <c r="B66" t="s">
        <v>3316</v>
      </c>
      <c r="C66" t="s">
        <v>3317</v>
      </c>
    </row>
    <row r="67" spans="1:3" x14ac:dyDescent="0.2">
      <c r="A67" t="str">
        <f t="shared" si="1"/>
        <v>return_code_1008</v>
      </c>
      <c r="B67" t="s">
        <v>3318</v>
      </c>
      <c r="C67" t="s">
        <v>3319</v>
      </c>
    </row>
    <row r="68" spans="1:3" x14ac:dyDescent="0.2">
      <c r="A68" t="str">
        <f t="shared" si="1"/>
        <v>return_code_1009</v>
      </c>
      <c r="B68" t="s">
        <v>3320</v>
      </c>
      <c r="C68" t="s">
        <v>3321</v>
      </c>
    </row>
    <row r="69" spans="1:3" x14ac:dyDescent="0.2">
      <c r="A69" t="str">
        <f t="shared" si="1"/>
        <v>return_code_1010</v>
      </c>
      <c r="B69" t="s">
        <v>2488</v>
      </c>
      <c r="C69" t="s">
        <v>3322</v>
      </c>
    </row>
    <row r="70" spans="1:3" x14ac:dyDescent="0.2">
      <c r="A70" t="str">
        <f t="shared" si="1"/>
        <v>return_code_1011</v>
      </c>
      <c r="B70" t="s">
        <v>3323</v>
      </c>
      <c r="C70" t="s">
        <v>3324</v>
      </c>
    </row>
    <row r="71" spans="1:3" x14ac:dyDescent="0.2">
      <c r="A71" t="str">
        <f t="shared" si="1"/>
        <v>return_code_1012</v>
      </c>
      <c r="B71" t="s">
        <v>3325</v>
      </c>
      <c r="C71" t="s">
        <v>3326</v>
      </c>
    </row>
    <row r="72" spans="1:3" x14ac:dyDescent="0.2">
      <c r="A72" t="str">
        <f t="shared" si="1"/>
        <v>return_code_1013</v>
      </c>
      <c r="B72" t="s">
        <v>3327</v>
      </c>
      <c r="C72" t="s">
        <v>3310</v>
      </c>
    </row>
    <row r="73" spans="1:3" x14ac:dyDescent="0.2">
      <c r="A73" t="str">
        <f t="shared" si="1"/>
        <v>return_code_1014</v>
      </c>
      <c r="B73" t="s">
        <v>3328</v>
      </c>
      <c r="C73" t="s">
        <v>3329</v>
      </c>
    </row>
    <row r="74" spans="1:3" x14ac:dyDescent="0.2">
      <c r="A74" t="str">
        <f t="shared" si="1"/>
        <v>return_code_1015</v>
      </c>
      <c r="B74" t="s">
        <v>3330</v>
      </c>
      <c r="C74" t="s">
        <v>3315</v>
      </c>
    </row>
    <row r="75" spans="1:3" x14ac:dyDescent="0.2">
      <c r="A75" t="str">
        <f t="shared" si="1"/>
        <v>return_code_1016</v>
      </c>
      <c r="B75" t="s">
        <v>1610</v>
      </c>
      <c r="C75" t="s">
        <v>3331</v>
      </c>
    </row>
    <row r="76" spans="1:3" x14ac:dyDescent="0.2">
      <c r="A76" t="str">
        <f t="shared" si="1"/>
        <v>return_code_1017</v>
      </c>
      <c r="B76" t="s">
        <v>3332</v>
      </c>
      <c r="C76" t="s">
        <v>3333</v>
      </c>
    </row>
    <row r="77" spans="1:3" x14ac:dyDescent="0.2">
      <c r="A77" t="str">
        <f t="shared" si="1"/>
        <v>return_code_1018</v>
      </c>
      <c r="B77" t="s">
        <v>3334</v>
      </c>
      <c r="C77" t="s">
        <v>3335</v>
      </c>
    </row>
    <row r="78" spans="1:3" x14ac:dyDescent="0.2">
      <c r="A78" t="str">
        <f t="shared" si="1"/>
        <v>return_code_1019</v>
      </c>
      <c r="B78" t="s">
        <v>3336</v>
      </c>
      <c r="C78" t="s">
        <v>3322</v>
      </c>
    </row>
    <row r="79" spans="1:3" x14ac:dyDescent="0.2">
      <c r="A79" t="str">
        <f t="shared" si="1"/>
        <v>return_code_1020</v>
      </c>
      <c r="B79" t="s">
        <v>2490</v>
      </c>
      <c r="C79" t="s">
        <v>3324</v>
      </c>
    </row>
    <row r="80" spans="1:3" x14ac:dyDescent="0.2">
      <c r="A80" t="str">
        <f t="shared" si="1"/>
        <v>return_code_1021</v>
      </c>
      <c r="B80" t="s">
        <v>3337</v>
      </c>
      <c r="C80" t="s">
        <v>3338</v>
      </c>
    </row>
    <row r="81" spans="1:3" x14ac:dyDescent="0.2">
      <c r="A81" t="str">
        <f t="shared" si="1"/>
        <v>return_code_1022</v>
      </c>
      <c r="B81" t="s">
        <v>3339</v>
      </c>
      <c r="C81" t="s">
        <v>3340</v>
      </c>
    </row>
    <row r="82" spans="1:3" x14ac:dyDescent="0.2">
      <c r="A82" t="str">
        <f t="shared" si="1"/>
        <v>return_code_1023</v>
      </c>
      <c r="B82" t="s">
        <v>3341</v>
      </c>
      <c r="C82" t="s">
        <v>3342</v>
      </c>
    </row>
    <row r="83" spans="1:3" x14ac:dyDescent="0.2">
      <c r="A83" t="str">
        <f t="shared" si="1"/>
        <v>return_code_1024</v>
      </c>
      <c r="B83" t="s">
        <v>3343</v>
      </c>
      <c r="C83" t="s">
        <v>3329</v>
      </c>
    </row>
    <row r="84" spans="1:3" x14ac:dyDescent="0.2">
      <c r="A84" t="str">
        <f t="shared" si="1"/>
        <v>return_code_1025</v>
      </c>
      <c r="B84" t="s">
        <v>3344</v>
      </c>
      <c r="C84" t="s">
        <v>3315</v>
      </c>
    </row>
    <row r="85" spans="1:3" x14ac:dyDescent="0.2">
      <c r="A85" t="str">
        <f t="shared" si="1"/>
        <v>return_code_1026</v>
      </c>
      <c r="B85" t="s">
        <v>3345</v>
      </c>
      <c r="C85" t="s">
        <v>3331</v>
      </c>
    </row>
    <row r="86" spans="1:3" x14ac:dyDescent="0.2">
      <c r="A86" t="str">
        <f t="shared" si="1"/>
        <v>return_code_1027</v>
      </c>
      <c r="B86" t="s">
        <v>3346</v>
      </c>
      <c r="C86" t="s">
        <v>3333</v>
      </c>
    </row>
    <row r="87" spans="1:3" x14ac:dyDescent="0.2">
      <c r="A87" t="str">
        <f t="shared" si="1"/>
        <v>return_code_1028</v>
      </c>
      <c r="B87" t="s">
        <v>3347</v>
      </c>
      <c r="C87" t="s">
        <v>3335</v>
      </c>
    </row>
    <row r="88" spans="1:3" x14ac:dyDescent="0.2">
      <c r="A88" t="str">
        <f t="shared" si="1"/>
        <v>return_code_1029</v>
      </c>
      <c r="B88" t="s">
        <v>3348</v>
      </c>
      <c r="C88" t="s">
        <v>3322</v>
      </c>
    </row>
    <row r="89" spans="1:3" x14ac:dyDescent="0.2">
      <c r="A89" t="str">
        <f t="shared" si="1"/>
        <v>return_code_1030</v>
      </c>
      <c r="B89" t="s">
        <v>2492</v>
      </c>
      <c r="C89" t="s">
        <v>3324</v>
      </c>
    </row>
    <row r="90" spans="1:3" x14ac:dyDescent="0.2">
      <c r="A90" t="str">
        <f t="shared" si="1"/>
        <v>return_code_1031</v>
      </c>
      <c r="B90" t="s">
        <v>3349</v>
      </c>
      <c r="C90" t="s">
        <v>3350</v>
      </c>
    </row>
    <row r="91" spans="1:3" x14ac:dyDescent="0.2">
      <c r="A91" t="str">
        <f t="shared" si="1"/>
        <v>return_code_1032</v>
      </c>
      <c r="B91" t="s">
        <v>3351</v>
      </c>
      <c r="C91" t="s">
        <v>3352</v>
      </c>
    </row>
    <row r="92" spans="1:3" x14ac:dyDescent="0.2">
      <c r="A92" t="str">
        <f t="shared" si="1"/>
        <v>return_code_1033</v>
      </c>
      <c r="B92" t="s">
        <v>3353</v>
      </c>
      <c r="C92" t="s">
        <v>3354</v>
      </c>
    </row>
    <row r="93" spans="1:3" x14ac:dyDescent="0.2">
      <c r="A93" t="str">
        <f t="shared" si="1"/>
        <v>return_code_1034</v>
      </c>
      <c r="B93" t="s">
        <v>3355</v>
      </c>
      <c r="C93" t="s">
        <v>3356</v>
      </c>
    </row>
    <row r="94" spans="1:3" x14ac:dyDescent="0.2">
      <c r="A94" t="str">
        <f t="shared" si="1"/>
        <v>return_code_1035</v>
      </c>
      <c r="B94" t="s">
        <v>3357</v>
      </c>
      <c r="C94" t="s">
        <v>3358</v>
      </c>
    </row>
    <row r="95" spans="1:3" x14ac:dyDescent="0.2">
      <c r="A95" t="str">
        <f t="shared" si="1"/>
        <v>return_code_1036</v>
      </c>
      <c r="B95" t="s">
        <v>3359</v>
      </c>
      <c r="C95" t="s">
        <v>3360</v>
      </c>
    </row>
    <row r="96" spans="1:3" x14ac:dyDescent="0.2">
      <c r="A96" t="str">
        <f t="shared" si="1"/>
        <v>return_code_1037</v>
      </c>
      <c r="B96" t="s">
        <v>3361</v>
      </c>
      <c r="C96" t="s">
        <v>3362</v>
      </c>
    </row>
    <row r="97" spans="1:3" x14ac:dyDescent="0.2">
      <c r="A97" t="str">
        <f t="shared" si="1"/>
        <v>return_code_1038</v>
      </c>
      <c r="B97" t="s">
        <v>3363</v>
      </c>
      <c r="C97" t="s">
        <v>3364</v>
      </c>
    </row>
    <row r="98" spans="1:3" x14ac:dyDescent="0.2">
      <c r="A98" t="str">
        <f t="shared" si="1"/>
        <v>return_code_1039</v>
      </c>
      <c r="B98" t="s">
        <v>3365</v>
      </c>
      <c r="C98" t="s">
        <v>3366</v>
      </c>
    </row>
    <row r="99" spans="1:3" x14ac:dyDescent="0.2">
      <c r="A99" t="str">
        <f t="shared" si="1"/>
        <v>return_code_1040</v>
      </c>
      <c r="B99" t="s">
        <v>2494</v>
      </c>
      <c r="C99" t="s">
        <v>3367</v>
      </c>
    </row>
    <row r="100" spans="1:3" x14ac:dyDescent="0.2">
      <c r="A100" t="str">
        <f t="shared" si="1"/>
        <v>return_code_1041</v>
      </c>
      <c r="B100" t="s">
        <v>3368</v>
      </c>
      <c r="C100" t="s">
        <v>3369</v>
      </c>
    </row>
    <row r="101" spans="1:3" x14ac:dyDescent="0.2">
      <c r="A101" t="str">
        <f t="shared" si="1"/>
        <v>return_code_1042</v>
      </c>
      <c r="B101" t="s">
        <v>3370</v>
      </c>
      <c r="C101" t="s">
        <v>3371</v>
      </c>
    </row>
    <row r="102" spans="1:3" x14ac:dyDescent="0.2">
      <c r="A102" t="str">
        <f t="shared" si="1"/>
        <v>return_code_1043</v>
      </c>
      <c r="B102" t="s">
        <v>3372</v>
      </c>
      <c r="C102" t="s">
        <v>3373</v>
      </c>
    </row>
    <row r="103" spans="1:3" x14ac:dyDescent="0.2">
      <c r="A103" t="str">
        <f t="shared" si="1"/>
        <v>return_code_1044</v>
      </c>
      <c r="B103" t="s">
        <v>3374</v>
      </c>
      <c r="C103" t="s">
        <v>3375</v>
      </c>
    </row>
    <row r="104" spans="1:3" x14ac:dyDescent="0.2">
      <c r="A104" t="str">
        <f t="shared" si="1"/>
        <v>return_code_1045</v>
      </c>
      <c r="B104" t="s">
        <v>3376</v>
      </c>
      <c r="C104" t="s">
        <v>3377</v>
      </c>
    </row>
    <row r="105" spans="1:3" x14ac:dyDescent="0.2">
      <c r="A105" t="str">
        <f t="shared" si="1"/>
        <v>return_code_1046</v>
      </c>
      <c r="B105" t="s">
        <v>3378</v>
      </c>
      <c r="C105" t="s">
        <v>3379</v>
      </c>
    </row>
    <row r="106" spans="1:3" x14ac:dyDescent="0.2">
      <c r="A106" t="str">
        <f t="shared" si="1"/>
        <v>return_code_1047</v>
      </c>
      <c r="B106" t="s">
        <v>3380</v>
      </c>
      <c r="C106" t="s">
        <v>3381</v>
      </c>
    </row>
    <row r="107" spans="1:3" x14ac:dyDescent="0.2">
      <c r="A107" t="str">
        <f t="shared" si="1"/>
        <v>return_code_1048</v>
      </c>
      <c r="B107" t="s">
        <v>3382</v>
      </c>
      <c r="C107" t="s">
        <v>3383</v>
      </c>
    </row>
    <row r="108" spans="1:3" x14ac:dyDescent="0.2">
      <c r="A108" t="str">
        <f t="shared" si="1"/>
        <v>return_code_1049</v>
      </c>
      <c r="B108" t="s">
        <v>3384</v>
      </c>
      <c r="C108" t="s">
        <v>3385</v>
      </c>
    </row>
    <row r="109" spans="1:3" x14ac:dyDescent="0.2">
      <c r="A109" t="str">
        <f t="shared" si="1"/>
        <v>return_code_1050</v>
      </c>
      <c r="B109" t="s">
        <v>2496</v>
      </c>
      <c r="C109" t="s">
        <v>3386</v>
      </c>
    </row>
    <row r="110" spans="1:3" x14ac:dyDescent="0.2">
      <c r="A110" t="str">
        <f t="shared" si="1"/>
        <v>return_code_1051</v>
      </c>
      <c r="B110" t="s">
        <v>3387</v>
      </c>
      <c r="C110" t="s">
        <v>3388</v>
      </c>
    </row>
    <row r="111" spans="1:3" x14ac:dyDescent="0.2">
      <c r="A111" t="str">
        <f t="shared" si="1"/>
        <v>return_code_1052</v>
      </c>
      <c r="B111" t="s">
        <v>3389</v>
      </c>
      <c r="C111" t="s">
        <v>3390</v>
      </c>
    </row>
    <row r="112" spans="1:3" x14ac:dyDescent="0.2">
      <c r="A112" t="str">
        <f t="shared" si="1"/>
        <v>return_code_1053</v>
      </c>
      <c r="B112" t="s">
        <v>3391</v>
      </c>
      <c r="C112" t="s">
        <v>3392</v>
      </c>
    </row>
    <row r="113" spans="1:3" x14ac:dyDescent="0.2">
      <c r="A113" t="str">
        <f t="shared" si="1"/>
        <v>return_code_1054</v>
      </c>
      <c r="B113" t="s">
        <v>3393</v>
      </c>
      <c r="C113" t="s">
        <v>3394</v>
      </c>
    </row>
    <row r="114" spans="1:3" x14ac:dyDescent="0.2">
      <c r="A114" t="str">
        <f t="shared" si="1"/>
        <v>return_code_1055</v>
      </c>
      <c r="B114" t="s">
        <v>3395</v>
      </c>
      <c r="C114" t="s">
        <v>3396</v>
      </c>
    </row>
    <row r="115" spans="1:3" x14ac:dyDescent="0.2">
      <c r="A115" t="str">
        <f t="shared" si="1"/>
        <v>return_code_1056</v>
      </c>
      <c r="B115" t="s">
        <v>3397</v>
      </c>
      <c r="C115" t="s">
        <v>3398</v>
      </c>
    </row>
    <row r="116" spans="1:3" x14ac:dyDescent="0.2">
      <c r="A116" t="str">
        <f t="shared" si="1"/>
        <v>return_code_1057</v>
      </c>
      <c r="B116" t="s">
        <v>3399</v>
      </c>
      <c r="C116" t="s">
        <v>3400</v>
      </c>
    </row>
    <row r="117" spans="1:3" x14ac:dyDescent="0.2">
      <c r="A117" t="str">
        <f t="shared" si="1"/>
        <v>return_code_1058</v>
      </c>
      <c r="B117" t="s">
        <v>3401</v>
      </c>
      <c r="C117" t="s">
        <v>3402</v>
      </c>
    </row>
    <row r="118" spans="1:3" x14ac:dyDescent="0.2">
      <c r="A118" t="str">
        <f t="shared" si="1"/>
        <v>return_code_1059</v>
      </c>
      <c r="B118" t="s">
        <v>3403</v>
      </c>
      <c r="C118" t="s">
        <v>3404</v>
      </c>
    </row>
    <row r="119" spans="1:3" x14ac:dyDescent="0.2">
      <c r="A119" t="str">
        <f t="shared" si="1"/>
        <v>return_code_1060</v>
      </c>
      <c r="B119" t="s">
        <v>3405</v>
      </c>
      <c r="C119" t="s">
        <v>3406</v>
      </c>
    </row>
    <row r="120" spans="1:3" x14ac:dyDescent="0.2">
      <c r="A120" t="str">
        <f t="shared" si="1"/>
        <v>return_code_1061</v>
      </c>
      <c r="B120" t="s">
        <v>2498</v>
      </c>
      <c r="C120" t="s">
        <v>3407</v>
      </c>
    </row>
    <row r="121" spans="1:3" x14ac:dyDescent="0.2">
      <c r="A121" t="str">
        <f t="shared" si="1"/>
        <v>return_code_1062</v>
      </c>
      <c r="B121" t="s">
        <v>2500</v>
      </c>
      <c r="C121" t="s">
        <v>3408</v>
      </c>
    </row>
    <row r="122" spans="1:3" x14ac:dyDescent="0.2">
      <c r="A122" t="str">
        <f t="shared" si="1"/>
        <v>return_code_1063</v>
      </c>
      <c r="B122" t="s">
        <v>3409</v>
      </c>
      <c r="C122" t="s">
        <v>3410</v>
      </c>
    </row>
    <row r="123" spans="1:3" x14ac:dyDescent="0.2">
      <c r="A123" t="str">
        <f t="shared" si="1"/>
        <v>return_code_1064</v>
      </c>
      <c r="B123" t="s">
        <v>3411</v>
      </c>
      <c r="C123" t="s">
        <v>3412</v>
      </c>
    </row>
    <row r="124" spans="1:3" x14ac:dyDescent="0.2">
      <c r="A124" t="str">
        <f t="shared" si="1"/>
        <v>return_code_1065</v>
      </c>
      <c r="B124" t="s">
        <v>3413</v>
      </c>
      <c r="C124" t="s">
        <v>3414</v>
      </c>
    </row>
    <row r="125" spans="1:3" x14ac:dyDescent="0.2">
      <c r="A125" t="str">
        <f t="shared" si="1"/>
        <v>return_code_1066</v>
      </c>
      <c r="B125" t="s">
        <v>3415</v>
      </c>
      <c r="C125" t="s">
        <v>3416</v>
      </c>
    </row>
    <row r="126" spans="1:3" x14ac:dyDescent="0.2">
      <c r="A126" t="str">
        <f t="shared" si="1"/>
        <v>return_code_1067</v>
      </c>
      <c r="B126" t="s">
        <v>3417</v>
      </c>
      <c r="C126" t="s">
        <v>3418</v>
      </c>
    </row>
    <row r="127" spans="1:3" x14ac:dyDescent="0.2">
      <c r="A127" t="str">
        <f t="shared" si="1"/>
        <v>return_code_1068</v>
      </c>
      <c r="B127" t="s">
        <v>3419</v>
      </c>
      <c r="C127" t="s">
        <v>3420</v>
      </c>
    </row>
    <row r="128" spans="1:3" x14ac:dyDescent="0.2">
      <c r="A128" t="str">
        <f t="shared" si="1"/>
        <v>return_code_1069</v>
      </c>
      <c r="B128" t="s">
        <v>3421</v>
      </c>
      <c r="C128" t="s">
        <v>3422</v>
      </c>
    </row>
    <row r="129" spans="1:3" x14ac:dyDescent="0.2">
      <c r="A129" t="str">
        <f t="shared" si="1"/>
        <v>return_code_1070</v>
      </c>
      <c r="B129" t="s">
        <v>3423</v>
      </c>
      <c r="C129" t="s">
        <v>3424</v>
      </c>
    </row>
    <row r="130" spans="1:3" x14ac:dyDescent="0.2">
      <c r="A130" t="str">
        <f t="shared" ref="A130:A193" si="2">CONCATENATE("return_code_",B130)</f>
        <v>return_code_1071</v>
      </c>
      <c r="B130" t="s">
        <v>2502</v>
      </c>
      <c r="C130" t="s">
        <v>3425</v>
      </c>
    </row>
    <row r="131" spans="1:3" x14ac:dyDescent="0.2">
      <c r="A131" t="str">
        <f t="shared" si="2"/>
        <v>return_code_1072</v>
      </c>
      <c r="B131" t="s">
        <v>2504</v>
      </c>
      <c r="C131" t="s">
        <v>3426</v>
      </c>
    </row>
    <row r="132" spans="1:3" x14ac:dyDescent="0.2">
      <c r="A132" t="str">
        <f t="shared" si="2"/>
        <v>return_code_1073</v>
      </c>
      <c r="B132" t="s">
        <v>2506</v>
      </c>
      <c r="C132" t="s">
        <v>3427</v>
      </c>
    </row>
    <row r="133" spans="1:3" x14ac:dyDescent="0.2">
      <c r="A133" t="str">
        <f t="shared" si="2"/>
        <v>return_code_1074</v>
      </c>
      <c r="B133" t="s">
        <v>2508</v>
      </c>
      <c r="C133" t="s">
        <v>3428</v>
      </c>
    </row>
    <row r="134" spans="1:3" x14ac:dyDescent="0.2">
      <c r="A134" t="str">
        <f t="shared" si="2"/>
        <v>return_code_1075</v>
      </c>
      <c r="B134" t="s">
        <v>2510</v>
      </c>
      <c r="C134" t="s">
        <v>3429</v>
      </c>
    </row>
    <row r="135" spans="1:3" x14ac:dyDescent="0.2">
      <c r="A135" t="str">
        <f t="shared" si="2"/>
        <v>return_code_1076</v>
      </c>
      <c r="B135" t="s">
        <v>3430</v>
      </c>
      <c r="C135" t="s">
        <v>3431</v>
      </c>
    </row>
    <row r="136" spans="1:3" x14ac:dyDescent="0.2">
      <c r="A136" t="str">
        <f t="shared" si="2"/>
        <v>return_code_1077</v>
      </c>
      <c r="B136" t="s">
        <v>3432</v>
      </c>
      <c r="C136" t="s">
        <v>3433</v>
      </c>
    </row>
    <row r="137" spans="1:3" x14ac:dyDescent="0.2">
      <c r="A137" t="str">
        <f t="shared" si="2"/>
        <v>return_code_1078</v>
      </c>
      <c r="B137" t="s">
        <v>3434</v>
      </c>
      <c r="C137" t="s">
        <v>3435</v>
      </c>
    </row>
    <row r="138" spans="1:3" x14ac:dyDescent="0.2">
      <c r="A138" t="str">
        <f t="shared" si="2"/>
        <v>return_code_1079</v>
      </c>
      <c r="B138" t="s">
        <v>2512</v>
      </c>
      <c r="C138" t="s">
        <v>3436</v>
      </c>
    </row>
    <row r="139" spans="1:3" x14ac:dyDescent="0.2">
      <c r="A139" t="str">
        <f t="shared" si="2"/>
        <v>return_code_1080</v>
      </c>
      <c r="B139" t="s">
        <v>2514</v>
      </c>
      <c r="C139" t="s">
        <v>3437</v>
      </c>
    </row>
    <row r="140" spans="1:3" x14ac:dyDescent="0.2">
      <c r="A140" t="str">
        <f t="shared" si="2"/>
        <v>return_code_2104</v>
      </c>
      <c r="B140" t="s">
        <v>2031</v>
      </c>
      <c r="C140" t="s">
        <v>3438</v>
      </c>
    </row>
    <row r="141" spans="1:3" x14ac:dyDescent="0.2">
      <c r="A141" t="str">
        <f t="shared" si="2"/>
        <v>return_code_2010</v>
      </c>
      <c r="B141" t="s">
        <v>1779</v>
      </c>
      <c r="C141" t="s">
        <v>3439</v>
      </c>
    </row>
    <row r="142" spans="1:3" x14ac:dyDescent="0.2">
      <c r="A142" t="str">
        <f t="shared" si="2"/>
        <v>return_code_2011</v>
      </c>
      <c r="B142" t="s">
        <v>2046</v>
      </c>
      <c r="C142" t="s">
        <v>3440</v>
      </c>
    </row>
    <row r="143" spans="1:3" x14ac:dyDescent="0.2">
      <c r="A143" t="str">
        <f t="shared" si="2"/>
        <v>return_code_2012</v>
      </c>
      <c r="B143" t="s">
        <v>2581</v>
      </c>
      <c r="C143" t="s">
        <v>3441</v>
      </c>
    </row>
    <row r="144" spans="1:3" x14ac:dyDescent="0.2">
      <c r="A144" t="str">
        <f t="shared" si="2"/>
        <v>return_code_2013</v>
      </c>
      <c r="B144" t="s">
        <v>2583</v>
      </c>
      <c r="C144" t="s">
        <v>3442</v>
      </c>
    </row>
    <row r="145" spans="1:3" x14ac:dyDescent="0.2">
      <c r="A145" t="str">
        <f t="shared" si="2"/>
        <v>return_code_2014</v>
      </c>
      <c r="B145" t="s">
        <v>3443</v>
      </c>
      <c r="C145" t="s">
        <v>3444</v>
      </c>
    </row>
    <row r="146" spans="1:3" x14ac:dyDescent="0.2">
      <c r="A146" t="str">
        <f t="shared" si="2"/>
        <v>return_code_2015</v>
      </c>
      <c r="B146" t="s">
        <v>3445</v>
      </c>
      <c r="C146" t="s">
        <v>3446</v>
      </c>
    </row>
    <row r="147" spans="1:3" x14ac:dyDescent="0.2">
      <c r="A147" t="str">
        <f t="shared" si="2"/>
        <v>return_code_2016</v>
      </c>
      <c r="B147" t="s">
        <v>3447</v>
      </c>
      <c r="C147" t="s">
        <v>3448</v>
      </c>
    </row>
    <row r="148" spans="1:3" x14ac:dyDescent="0.2">
      <c r="A148" t="str">
        <f t="shared" si="2"/>
        <v>return_code_2017</v>
      </c>
      <c r="B148" t="s">
        <v>3449</v>
      </c>
      <c r="C148" t="s">
        <v>3450</v>
      </c>
    </row>
    <row r="149" spans="1:3" x14ac:dyDescent="0.2">
      <c r="A149" t="str">
        <f t="shared" si="2"/>
        <v>return_code_2018</v>
      </c>
      <c r="B149" t="s">
        <v>3451</v>
      </c>
      <c r="C149" t="s">
        <v>3317</v>
      </c>
    </row>
    <row r="150" spans="1:3" x14ac:dyDescent="0.2">
      <c r="A150" t="str">
        <f t="shared" si="2"/>
        <v>return_code_2019</v>
      </c>
      <c r="B150" t="s">
        <v>3452</v>
      </c>
      <c r="C150" t="s">
        <v>3453</v>
      </c>
    </row>
    <row r="151" spans="1:3" x14ac:dyDescent="0.2">
      <c r="A151" t="str">
        <f t="shared" si="2"/>
        <v>return_code_2020</v>
      </c>
      <c r="B151" t="s">
        <v>3454</v>
      </c>
      <c r="C151" t="s">
        <v>3455</v>
      </c>
    </row>
    <row r="152" spans="1:3" x14ac:dyDescent="0.2">
      <c r="A152" t="str">
        <f t="shared" si="2"/>
        <v>return_code_2021</v>
      </c>
      <c r="B152" t="s">
        <v>2585</v>
      </c>
      <c r="C152" t="s">
        <v>3456</v>
      </c>
    </row>
    <row r="153" spans="1:3" x14ac:dyDescent="0.2">
      <c r="A153" t="str">
        <f t="shared" si="2"/>
        <v>return_code_2022</v>
      </c>
      <c r="B153" t="s">
        <v>2587</v>
      </c>
      <c r="C153" t="s">
        <v>3457</v>
      </c>
    </row>
    <row r="154" spans="1:3" x14ac:dyDescent="0.2">
      <c r="A154" t="str">
        <f t="shared" si="2"/>
        <v>return_code_2023</v>
      </c>
      <c r="B154" t="s">
        <v>2589</v>
      </c>
      <c r="C154" t="s">
        <v>3458</v>
      </c>
    </row>
    <row r="155" spans="1:3" x14ac:dyDescent="0.2">
      <c r="A155" t="str">
        <f t="shared" si="2"/>
        <v>return_code_2024</v>
      </c>
      <c r="B155" t="s">
        <v>3459</v>
      </c>
      <c r="C155" t="s">
        <v>3460</v>
      </c>
    </row>
    <row r="156" spans="1:3" x14ac:dyDescent="0.2">
      <c r="A156" t="str">
        <f t="shared" si="2"/>
        <v>return_code_2025</v>
      </c>
      <c r="B156" t="s">
        <v>3461</v>
      </c>
      <c r="C156" t="s">
        <v>3462</v>
      </c>
    </row>
    <row r="157" spans="1:3" x14ac:dyDescent="0.2">
      <c r="A157" t="str">
        <f t="shared" si="2"/>
        <v>return_code_2026</v>
      </c>
      <c r="B157" t="s">
        <v>3463</v>
      </c>
      <c r="C157" t="s">
        <v>3464</v>
      </c>
    </row>
    <row r="158" spans="1:3" x14ac:dyDescent="0.2">
      <c r="A158" t="str">
        <f t="shared" si="2"/>
        <v>return_code_2027</v>
      </c>
      <c r="B158" t="s">
        <v>3465</v>
      </c>
      <c r="C158" t="s">
        <v>3466</v>
      </c>
    </row>
    <row r="159" spans="1:3" x14ac:dyDescent="0.2">
      <c r="A159" t="str">
        <f t="shared" si="2"/>
        <v>return_code_2028</v>
      </c>
      <c r="B159" t="s">
        <v>3467</v>
      </c>
      <c r="C159" t="s">
        <v>3468</v>
      </c>
    </row>
    <row r="160" spans="1:3" x14ac:dyDescent="0.2">
      <c r="A160" t="str">
        <f t="shared" si="2"/>
        <v>return_code_2029</v>
      </c>
      <c r="B160" t="s">
        <v>2591</v>
      </c>
      <c r="C160" t="s">
        <v>3469</v>
      </c>
    </row>
    <row r="161" spans="1:3" x14ac:dyDescent="0.2">
      <c r="A161" t="str">
        <f t="shared" si="2"/>
        <v>return_code_2030</v>
      </c>
      <c r="B161" t="s">
        <v>2593</v>
      </c>
      <c r="C161" t="s">
        <v>3470</v>
      </c>
    </row>
    <row r="162" spans="1:3" x14ac:dyDescent="0.2">
      <c r="A162" t="str">
        <f t="shared" si="2"/>
        <v>return_code_2031</v>
      </c>
      <c r="B162" t="s">
        <v>3471</v>
      </c>
      <c r="C162" t="s">
        <v>3472</v>
      </c>
    </row>
    <row r="163" spans="1:3" x14ac:dyDescent="0.2">
      <c r="A163" t="str">
        <f t="shared" si="2"/>
        <v>return_code_2032</v>
      </c>
      <c r="B163" t="s">
        <v>3473</v>
      </c>
      <c r="C163" t="s">
        <v>3474</v>
      </c>
    </row>
    <row r="164" spans="1:3" x14ac:dyDescent="0.2">
      <c r="A164" t="str">
        <f t="shared" si="2"/>
        <v>return_code_2033</v>
      </c>
      <c r="B164" t="s">
        <v>3475</v>
      </c>
      <c r="C164" t="s">
        <v>3476</v>
      </c>
    </row>
    <row r="165" spans="1:3" x14ac:dyDescent="0.2">
      <c r="A165" t="str">
        <f t="shared" si="2"/>
        <v>return_code_2034</v>
      </c>
      <c r="B165" t="s">
        <v>3477</v>
      </c>
      <c r="C165" t="s">
        <v>3478</v>
      </c>
    </row>
    <row r="166" spans="1:3" x14ac:dyDescent="0.2">
      <c r="A166" t="str">
        <f t="shared" si="2"/>
        <v>return_code_2035</v>
      </c>
      <c r="B166" t="s">
        <v>3479</v>
      </c>
      <c r="C166" t="s">
        <v>3480</v>
      </c>
    </row>
    <row r="167" spans="1:3" x14ac:dyDescent="0.2">
      <c r="A167" t="str">
        <f t="shared" si="2"/>
        <v>return_code_2036</v>
      </c>
      <c r="B167" t="s">
        <v>3481</v>
      </c>
      <c r="C167" t="s">
        <v>3482</v>
      </c>
    </row>
    <row r="168" spans="1:3" x14ac:dyDescent="0.2">
      <c r="A168" t="str">
        <f t="shared" si="2"/>
        <v>return_code_2037</v>
      </c>
      <c r="B168" t="s">
        <v>3483</v>
      </c>
      <c r="C168" t="s">
        <v>3484</v>
      </c>
    </row>
    <row r="169" spans="1:3" x14ac:dyDescent="0.2">
      <c r="A169" t="str">
        <f t="shared" si="2"/>
        <v>return_code_2038</v>
      </c>
      <c r="B169" t="s">
        <v>3485</v>
      </c>
      <c r="C169" t="s">
        <v>3486</v>
      </c>
    </row>
    <row r="170" spans="1:3" x14ac:dyDescent="0.2">
      <c r="A170" t="str">
        <f t="shared" si="2"/>
        <v>return_code_2039</v>
      </c>
      <c r="B170" t="s">
        <v>3487</v>
      </c>
      <c r="C170" t="s">
        <v>3488</v>
      </c>
    </row>
    <row r="171" spans="1:3" x14ac:dyDescent="0.2">
      <c r="A171" t="str">
        <f t="shared" si="2"/>
        <v>return_code_2040</v>
      </c>
      <c r="B171" t="s">
        <v>3489</v>
      </c>
      <c r="C171" t="s">
        <v>3490</v>
      </c>
    </row>
    <row r="172" spans="1:3" x14ac:dyDescent="0.2">
      <c r="A172" t="str">
        <f t="shared" si="2"/>
        <v>return_code_2041</v>
      </c>
      <c r="B172" t="s">
        <v>3491</v>
      </c>
      <c r="C172" t="s">
        <v>3492</v>
      </c>
    </row>
    <row r="173" spans="1:3" x14ac:dyDescent="0.2">
      <c r="A173" t="str">
        <f t="shared" si="2"/>
        <v>return_code_2042</v>
      </c>
      <c r="B173" t="s">
        <v>3493</v>
      </c>
      <c r="C173" t="s">
        <v>3494</v>
      </c>
    </row>
    <row r="174" spans="1:3" x14ac:dyDescent="0.2">
      <c r="A174" t="str">
        <f t="shared" si="2"/>
        <v>return_code_2043</v>
      </c>
      <c r="B174" t="s">
        <v>3495</v>
      </c>
      <c r="C174" t="s">
        <v>3496</v>
      </c>
    </row>
    <row r="175" spans="1:3" x14ac:dyDescent="0.2">
      <c r="A175" t="str">
        <f t="shared" si="2"/>
        <v>return_code_2044</v>
      </c>
      <c r="B175" t="s">
        <v>3497</v>
      </c>
      <c r="C175" t="s">
        <v>3498</v>
      </c>
    </row>
    <row r="176" spans="1:3" x14ac:dyDescent="0.2">
      <c r="A176" t="str">
        <f t="shared" si="2"/>
        <v>return_code_2045</v>
      </c>
      <c r="B176" t="s">
        <v>3499</v>
      </c>
      <c r="C176" t="s">
        <v>3500</v>
      </c>
    </row>
    <row r="177" spans="1:3" x14ac:dyDescent="0.2">
      <c r="A177" t="str">
        <f t="shared" si="2"/>
        <v>return_code_2046</v>
      </c>
      <c r="B177" t="s">
        <v>3501</v>
      </c>
      <c r="C177" t="s">
        <v>3502</v>
      </c>
    </row>
    <row r="178" spans="1:3" x14ac:dyDescent="0.2">
      <c r="A178" t="str">
        <f t="shared" si="2"/>
        <v>return_code_2047</v>
      </c>
      <c r="B178" t="s">
        <v>3503</v>
      </c>
      <c r="C178" t="s">
        <v>3504</v>
      </c>
    </row>
    <row r="179" spans="1:3" x14ac:dyDescent="0.2">
      <c r="A179" t="str">
        <f t="shared" si="2"/>
        <v>return_code_2048</v>
      </c>
      <c r="B179" t="s">
        <v>3505</v>
      </c>
      <c r="C179" t="s">
        <v>3506</v>
      </c>
    </row>
    <row r="180" spans="1:3" x14ac:dyDescent="0.2">
      <c r="A180" t="str">
        <f t="shared" si="2"/>
        <v>return_code_2049</v>
      </c>
      <c r="B180" t="s">
        <v>3507</v>
      </c>
      <c r="C180" t="s">
        <v>3478</v>
      </c>
    </row>
    <row r="181" spans="1:3" x14ac:dyDescent="0.2">
      <c r="A181" t="str">
        <f t="shared" si="2"/>
        <v>return_code_2050</v>
      </c>
      <c r="B181" t="s">
        <v>3508</v>
      </c>
      <c r="C181" t="s">
        <v>3509</v>
      </c>
    </row>
    <row r="182" spans="1:3" x14ac:dyDescent="0.2">
      <c r="A182" t="str">
        <f t="shared" si="2"/>
        <v>return_code_2051</v>
      </c>
      <c r="B182" t="s">
        <v>3510</v>
      </c>
      <c r="C182" t="s">
        <v>3482</v>
      </c>
    </row>
    <row r="183" spans="1:3" x14ac:dyDescent="0.2">
      <c r="A183" t="str">
        <f t="shared" si="2"/>
        <v>return_code_2052</v>
      </c>
      <c r="B183" t="s">
        <v>3511</v>
      </c>
      <c r="C183" t="s">
        <v>3512</v>
      </c>
    </row>
    <row r="184" spans="1:3" x14ac:dyDescent="0.2">
      <c r="A184" t="str">
        <f t="shared" si="2"/>
        <v>return_code_2053</v>
      </c>
      <c r="B184" t="s">
        <v>3513</v>
      </c>
      <c r="C184" t="s">
        <v>3514</v>
      </c>
    </row>
    <row r="185" spans="1:3" x14ac:dyDescent="0.2">
      <c r="A185" t="str">
        <f t="shared" si="2"/>
        <v>return_code_2054</v>
      </c>
      <c r="B185" t="s">
        <v>3515</v>
      </c>
      <c r="C185" t="s">
        <v>3516</v>
      </c>
    </row>
    <row r="186" spans="1:3" x14ac:dyDescent="0.2">
      <c r="A186" t="str">
        <f t="shared" si="2"/>
        <v>return_code_2055</v>
      </c>
      <c r="B186" t="s">
        <v>3517</v>
      </c>
      <c r="C186" t="s">
        <v>3518</v>
      </c>
    </row>
    <row r="187" spans="1:3" x14ac:dyDescent="0.2">
      <c r="A187" t="str">
        <f t="shared" si="2"/>
        <v>return_code_2056</v>
      </c>
      <c r="B187" t="s">
        <v>3519</v>
      </c>
      <c r="C187" t="s">
        <v>3520</v>
      </c>
    </row>
    <row r="188" spans="1:3" x14ac:dyDescent="0.2">
      <c r="A188" t="str">
        <f t="shared" si="2"/>
        <v>return_code_2057</v>
      </c>
      <c r="B188" t="s">
        <v>3521</v>
      </c>
      <c r="C188" t="s">
        <v>3522</v>
      </c>
    </row>
    <row r="189" spans="1:3" x14ac:dyDescent="0.2">
      <c r="A189" t="str">
        <f t="shared" si="2"/>
        <v>return_code_2058</v>
      </c>
      <c r="B189" t="s">
        <v>3523</v>
      </c>
      <c r="C189" t="s">
        <v>3524</v>
      </c>
    </row>
    <row r="190" spans="1:3" x14ac:dyDescent="0.2">
      <c r="A190" t="str">
        <f t="shared" si="2"/>
        <v>return_code_2059</v>
      </c>
      <c r="B190" t="s">
        <v>3525</v>
      </c>
      <c r="C190" t="s">
        <v>3526</v>
      </c>
    </row>
    <row r="191" spans="1:3" x14ac:dyDescent="0.2">
      <c r="A191" t="str">
        <f t="shared" si="2"/>
        <v>return_code_2060</v>
      </c>
      <c r="B191" t="s">
        <v>3527</v>
      </c>
      <c r="C191" t="s">
        <v>3528</v>
      </c>
    </row>
    <row r="192" spans="1:3" x14ac:dyDescent="0.2">
      <c r="A192" t="str">
        <f t="shared" si="2"/>
        <v>return_code_2061</v>
      </c>
      <c r="B192" t="s">
        <v>3529</v>
      </c>
      <c r="C192" t="s">
        <v>3530</v>
      </c>
    </row>
    <row r="193" spans="1:3" x14ac:dyDescent="0.2">
      <c r="A193" t="str">
        <f t="shared" si="2"/>
        <v>return_code_2062</v>
      </c>
      <c r="B193" t="s">
        <v>3531</v>
      </c>
      <c r="C193" t="s">
        <v>3496</v>
      </c>
    </row>
    <row r="194" spans="1:3" x14ac:dyDescent="0.2">
      <c r="A194" t="str">
        <f t="shared" ref="A194:A256" si="3">CONCATENATE("return_code_",B194)</f>
        <v>return_code_2063</v>
      </c>
      <c r="B194" t="s">
        <v>3532</v>
      </c>
      <c r="C194" t="s">
        <v>3533</v>
      </c>
    </row>
    <row r="195" spans="1:3" x14ac:dyDescent="0.2">
      <c r="A195" t="str">
        <f t="shared" si="3"/>
        <v>return_code_2064</v>
      </c>
      <c r="B195" t="s">
        <v>3534</v>
      </c>
      <c r="C195" t="s">
        <v>3535</v>
      </c>
    </row>
    <row r="196" spans="1:3" x14ac:dyDescent="0.2">
      <c r="A196" t="str">
        <f t="shared" si="3"/>
        <v>return_code_2065</v>
      </c>
      <c r="B196" t="s">
        <v>3536</v>
      </c>
      <c r="C196" t="s">
        <v>3537</v>
      </c>
    </row>
    <row r="197" spans="1:3" x14ac:dyDescent="0.2">
      <c r="A197" t="str">
        <f t="shared" si="3"/>
        <v>return_code_2066</v>
      </c>
      <c r="B197" t="s">
        <v>3538</v>
      </c>
      <c r="C197" t="s">
        <v>3539</v>
      </c>
    </row>
    <row r="198" spans="1:3" x14ac:dyDescent="0.2">
      <c r="A198" t="str">
        <f t="shared" si="3"/>
        <v>return_code_2067</v>
      </c>
      <c r="B198" t="s">
        <v>3540</v>
      </c>
      <c r="C198" t="s">
        <v>3541</v>
      </c>
    </row>
    <row r="199" spans="1:3" x14ac:dyDescent="0.2">
      <c r="A199" t="str">
        <f t="shared" si="3"/>
        <v>return_code_2068</v>
      </c>
      <c r="B199" t="s">
        <v>3542</v>
      </c>
      <c r="C199" t="s">
        <v>3543</v>
      </c>
    </row>
    <row r="200" spans="1:3" x14ac:dyDescent="0.2">
      <c r="A200" t="str">
        <f t="shared" si="3"/>
        <v>return_code_2069</v>
      </c>
      <c r="B200" t="s">
        <v>3544</v>
      </c>
      <c r="C200" t="s">
        <v>3545</v>
      </c>
    </row>
    <row r="201" spans="1:3" x14ac:dyDescent="0.2">
      <c r="A201" t="str">
        <f t="shared" si="3"/>
        <v>return_code_2070</v>
      </c>
      <c r="B201" t="s">
        <v>3546</v>
      </c>
      <c r="C201" t="s">
        <v>3547</v>
      </c>
    </row>
    <row r="202" spans="1:3" x14ac:dyDescent="0.2">
      <c r="A202" t="str">
        <f t="shared" si="3"/>
        <v>return_code_2071</v>
      </c>
      <c r="B202" t="s">
        <v>3548</v>
      </c>
      <c r="C202" t="s">
        <v>3549</v>
      </c>
    </row>
    <row r="203" spans="1:3" x14ac:dyDescent="0.2">
      <c r="A203" t="str">
        <f t="shared" si="3"/>
        <v>return_code_2072</v>
      </c>
      <c r="B203" t="s">
        <v>3550</v>
      </c>
      <c r="C203" t="s">
        <v>3551</v>
      </c>
    </row>
    <row r="204" spans="1:3" x14ac:dyDescent="0.2">
      <c r="A204" t="str">
        <f t="shared" si="3"/>
        <v>return_code_2073</v>
      </c>
      <c r="B204" t="s">
        <v>3552</v>
      </c>
      <c r="C204" t="s">
        <v>3553</v>
      </c>
    </row>
    <row r="205" spans="1:3" x14ac:dyDescent="0.2">
      <c r="A205" t="str">
        <f t="shared" si="3"/>
        <v>return_code_2074</v>
      </c>
      <c r="B205" t="s">
        <v>3554</v>
      </c>
      <c r="C205" t="s">
        <v>3555</v>
      </c>
    </row>
    <row r="206" spans="1:3" x14ac:dyDescent="0.2">
      <c r="A206" t="str">
        <f t="shared" si="3"/>
        <v>return_code_2075</v>
      </c>
      <c r="B206" t="s">
        <v>3556</v>
      </c>
      <c r="C206" t="s">
        <v>3557</v>
      </c>
    </row>
    <row r="207" spans="1:3" x14ac:dyDescent="0.2">
      <c r="A207" t="str">
        <f t="shared" si="3"/>
        <v>return_code_2076</v>
      </c>
      <c r="B207" t="s">
        <v>3558</v>
      </c>
      <c r="C207" t="s">
        <v>3559</v>
      </c>
    </row>
    <row r="208" spans="1:3" x14ac:dyDescent="0.2">
      <c r="A208" t="str">
        <f t="shared" si="3"/>
        <v>return_code_2077</v>
      </c>
      <c r="B208" t="s">
        <v>3560</v>
      </c>
      <c r="C208" t="s">
        <v>3561</v>
      </c>
    </row>
    <row r="209" spans="1:3" x14ac:dyDescent="0.2">
      <c r="A209" t="str">
        <f t="shared" si="3"/>
        <v>return_code_2078</v>
      </c>
      <c r="B209" t="s">
        <v>3562</v>
      </c>
      <c r="C209" t="s">
        <v>3563</v>
      </c>
    </row>
    <row r="210" spans="1:3" x14ac:dyDescent="0.2">
      <c r="A210" t="str">
        <f t="shared" si="3"/>
        <v>return_code_2079</v>
      </c>
      <c r="B210" t="s">
        <v>3564</v>
      </c>
      <c r="C210" t="s">
        <v>3565</v>
      </c>
    </row>
    <row r="211" spans="1:3" x14ac:dyDescent="0.2">
      <c r="A211" t="str">
        <f t="shared" si="3"/>
        <v>return_code_2080</v>
      </c>
      <c r="B211" t="s">
        <v>3566</v>
      </c>
      <c r="C211" t="s">
        <v>3567</v>
      </c>
    </row>
    <row r="212" spans="1:3" x14ac:dyDescent="0.2">
      <c r="A212" t="str">
        <f t="shared" si="3"/>
        <v>return_code_2081</v>
      </c>
      <c r="B212" t="s">
        <v>3568</v>
      </c>
      <c r="C212" t="s">
        <v>3569</v>
      </c>
    </row>
    <row r="213" spans="1:3" x14ac:dyDescent="0.2">
      <c r="A213" t="str">
        <f t="shared" si="3"/>
        <v>return_code_2082</v>
      </c>
      <c r="B213" t="s">
        <v>3570</v>
      </c>
      <c r="C213" t="s">
        <v>3571</v>
      </c>
    </row>
    <row r="214" spans="1:3" x14ac:dyDescent="0.2">
      <c r="A214" t="str">
        <f t="shared" si="3"/>
        <v>return_code_2083</v>
      </c>
      <c r="B214" t="s">
        <v>3572</v>
      </c>
      <c r="C214" t="s">
        <v>3573</v>
      </c>
    </row>
    <row r="215" spans="1:3" x14ac:dyDescent="0.2">
      <c r="A215" t="str">
        <f t="shared" si="3"/>
        <v>return_code_2084</v>
      </c>
      <c r="B215" t="s">
        <v>3574</v>
      </c>
      <c r="C215" t="s">
        <v>3575</v>
      </c>
    </row>
    <row r="216" spans="1:3" x14ac:dyDescent="0.2">
      <c r="A216" t="str">
        <f t="shared" si="3"/>
        <v>return_code_2085</v>
      </c>
      <c r="B216" t="s">
        <v>3576</v>
      </c>
      <c r="C216" t="s">
        <v>3577</v>
      </c>
    </row>
    <row r="217" spans="1:3" x14ac:dyDescent="0.2">
      <c r="A217" t="str">
        <f t="shared" si="3"/>
        <v>return_code_2086</v>
      </c>
      <c r="B217" t="s">
        <v>3578</v>
      </c>
      <c r="C217" t="s">
        <v>3579</v>
      </c>
    </row>
    <row r="218" spans="1:3" x14ac:dyDescent="0.2">
      <c r="A218" t="str">
        <f t="shared" si="3"/>
        <v>return_code_2087</v>
      </c>
      <c r="B218" t="s">
        <v>3580</v>
      </c>
      <c r="C218" t="s">
        <v>3581</v>
      </c>
    </row>
    <row r="219" spans="1:3" x14ac:dyDescent="0.2">
      <c r="A219" t="str">
        <f t="shared" si="3"/>
        <v>return_code_2088</v>
      </c>
      <c r="B219" t="s">
        <v>3582</v>
      </c>
      <c r="C219" t="s">
        <v>3583</v>
      </c>
    </row>
    <row r="220" spans="1:3" x14ac:dyDescent="0.2">
      <c r="A220" t="str">
        <f t="shared" si="3"/>
        <v>return_code_2089</v>
      </c>
      <c r="B220" t="s">
        <v>3584</v>
      </c>
      <c r="C220" t="s">
        <v>3585</v>
      </c>
    </row>
    <row r="221" spans="1:3" x14ac:dyDescent="0.2">
      <c r="A221" t="str">
        <f t="shared" si="3"/>
        <v>return_code_2090</v>
      </c>
      <c r="B221" t="s">
        <v>3586</v>
      </c>
      <c r="C221" t="s">
        <v>3587</v>
      </c>
    </row>
    <row r="222" spans="1:3" x14ac:dyDescent="0.2">
      <c r="A222" t="str">
        <f t="shared" si="3"/>
        <v>return_code_2091</v>
      </c>
      <c r="B222" t="s">
        <v>3588</v>
      </c>
      <c r="C222" t="s">
        <v>3589</v>
      </c>
    </row>
    <row r="223" spans="1:3" x14ac:dyDescent="0.2">
      <c r="A223" t="str">
        <f t="shared" si="3"/>
        <v>return_code_2092</v>
      </c>
      <c r="B223" t="s">
        <v>3590</v>
      </c>
      <c r="C223" t="s">
        <v>3591</v>
      </c>
    </row>
    <row r="224" spans="1:3" x14ac:dyDescent="0.2">
      <c r="A224" t="str">
        <f t="shared" si="3"/>
        <v>return_code_2093</v>
      </c>
      <c r="B224" t="s">
        <v>3592</v>
      </c>
      <c r="C224" t="s">
        <v>3593</v>
      </c>
    </row>
    <row r="225" spans="1:3" x14ac:dyDescent="0.2">
      <c r="A225" t="str">
        <f t="shared" si="3"/>
        <v>return_code_2094</v>
      </c>
      <c r="B225" t="s">
        <v>3594</v>
      </c>
      <c r="C225" t="s">
        <v>3595</v>
      </c>
    </row>
    <row r="226" spans="1:3" x14ac:dyDescent="0.2">
      <c r="A226" t="str">
        <f t="shared" si="3"/>
        <v>return_code_2095</v>
      </c>
      <c r="B226" t="s">
        <v>3596</v>
      </c>
      <c r="C226" t="s">
        <v>3597</v>
      </c>
    </row>
    <row r="227" spans="1:3" x14ac:dyDescent="0.2">
      <c r="A227" t="str">
        <f t="shared" si="3"/>
        <v>return_code_2096</v>
      </c>
      <c r="B227" t="s">
        <v>3598</v>
      </c>
      <c r="C227" t="s">
        <v>3599</v>
      </c>
    </row>
    <row r="228" spans="1:3" x14ac:dyDescent="0.2">
      <c r="A228" t="str">
        <f t="shared" si="3"/>
        <v>return_code_2097</v>
      </c>
      <c r="B228" t="s">
        <v>3600</v>
      </c>
      <c r="C228" t="s">
        <v>3601</v>
      </c>
    </row>
    <row r="229" spans="1:3" x14ac:dyDescent="0.2">
      <c r="A229" t="str">
        <f t="shared" si="3"/>
        <v>return_code_2098</v>
      </c>
      <c r="B229" t="s">
        <v>3602</v>
      </c>
      <c r="C229" t="s">
        <v>3603</v>
      </c>
    </row>
    <row r="230" spans="1:3" x14ac:dyDescent="0.2">
      <c r="A230" t="str">
        <f t="shared" si="3"/>
        <v>return_code_2099</v>
      </c>
      <c r="B230" t="s">
        <v>3604</v>
      </c>
      <c r="C230" t="s">
        <v>3605</v>
      </c>
    </row>
    <row r="231" spans="1:3" x14ac:dyDescent="0.2">
      <c r="A231" t="str">
        <f t="shared" si="3"/>
        <v>return_code_2100</v>
      </c>
      <c r="B231" t="s">
        <v>2023</v>
      </c>
      <c r="C231" t="s">
        <v>3606</v>
      </c>
    </row>
    <row r="232" spans="1:3" x14ac:dyDescent="0.2">
      <c r="A232" t="str">
        <f t="shared" si="3"/>
        <v>return_code_2101</v>
      </c>
      <c r="B232" t="s">
        <v>2025</v>
      </c>
      <c r="C232" t="s">
        <v>3607</v>
      </c>
    </row>
    <row r="233" spans="1:3" x14ac:dyDescent="0.2">
      <c r="A233" t="str">
        <f t="shared" si="3"/>
        <v>return_code_2102</v>
      </c>
      <c r="B233" t="s">
        <v>2027</v>
      </c>
      <c r="C233" t="s">
        <v>3608</v>
      </c>
    </row>
    <row r="234" spans="1:3" x14ac:dyDescent="0.2">
      <c r="A234" t="str">
        <f t="shared" si="3"/>
        <v>return_code_2103</v>
      </c>
      <c r="B234" t="s">
        <v>2029</v>
      </c>
      <c r="C234" t="s">
        <v>3609</v>
      </c>
    </row>
    <row r="235" spans="1:3" x14ac:dyDescent="0.2">
      <c r="A235" t="str">
        <f t="shared" si="3"/>
        <v>return_code_2105</v>
      </c>
      <c r="B235" t="s">
        <v>3611</v>
      </c>
      <c r="C235" t="s">
        <v>3612</v>
      </c>
    </row>
    <row r="236" spans="1:3" x14ac:dyDescent="0.2">
      <c r="A236" t="str">
        <f t="shared" si="3"/>
        <v>return_code_2106</v>
      </c>
      <c r="B236" t="s">
        <v>3613</v>
      </c>
      <c r="C236" t="s">
        <v>3614</v>
      </c>
    </row>
    <row r="237" spans="1:3" x14ac:dyDescent="0.2">
      <c r="A237" t="str">
        <f t="shared" si="3"/>
        <v>return_code_2107</v>
      </c>
      <c r="B237" t="s">
        <v>3615</v>
      </c>
      <c r="C237" t="s">
        <v>3616</v>
      </c>
    </row>
    <row r="238" spans="1:3" x14ac:dyDescent="0.2">
      <c r="A238" t="str">
        <f t="shared" si="3"/>
        <v>return_code_2108</v>
      </c>
      <c r="B238" t="s">
        <v>3617</v>
      </c>
      <c r="C238" t="s">
        <v>3618</v>
      </c>
    </row>
    <row r="239" spans="1:3" x14ac:dyDescent="0.2">
      <c r="A239" t="str">
        <f t="shared" si="3"/>
        <v>return_code_2109</v>
      </c>
      <c r="B239" t="s">
        <v>3619</v>
      </c>
      <c r="C239" t="s">
        <v>3354</v>
      </c>
    </row>
    <row r="240" spans="1:3" x14ac:dyDescent="0.2">
      <c r="A240" t="str">
        <f t="shared" si="3"/>
        <v>return_code_2110</v>
      </c>
      <c r="B240" t="s">
        <v>3620</v>
      </c>
      <c r="C240" t="s">
        <v>3555</v>
      </c>
    </row>
    <row r="241" spans="1:3" x14ac:dyDescent="0.2">
      <c r="A241" t="str">
        <f t="shared" si="3"/>
        <v>return_code_2111</v>
      </c>
      <c r="B241" t="s">
        <v>3621</v>
      </c>
      <c r="C241" t="s">
        <v>3557</v>
      </c>
    </row>
    <row r="242" spans="1:3" x14ac:dyDescent="0.2">
      <c r="A242" t="str">
        <f t="shared" si="3"/>
        <v>return_code_2112</v>
      </c>
      <c r="B242" t="s">
        <v>3622</v>
      </c>
      <c r="C242" t="s">
        <v>3623</v>
      </c>
    </row>
    <row r="243" spans="1:3" x14ac:dyDescent="0.2">
      <c r="A243" t="str">
        <f t="shared" si="3"/>
        <v>return_code_2113</v>
      </c>
      <c r="B243" t="s">
        <v>3624</v>
      </c>
      <c r="C243" t="s">
        <v>3625</v>
      </c>
    </row>
    <row r="244" spans="1:3" x14ac:dyDescent="0.2">
      <c r="A244" t="str">
        <f t="shared" si="3"/>
        <v>return_code_2114</v>
      </c>
      <c r="B244" t="s">
        <v>3626</v>
      </c>
      <c r="C244" t="s">
        <v>3627</v>
      </c>
    </row>
    <row r="245" spans="1:3" x14ac:dyDescent="0.2">
      <c r="A245" t="str">
        <f t="shared" si="3"/>
        <v>return_code_2115</v>
      </c>
      <c r="B245" t="s">
        <v>3628</v>
      </c>
      <c r="C245" t="s">
        <v>3547</v>
      </c>
    </row>
    <row r="246" spans="1:3" x14ac:dyDescent="0.2">
      <c r="A246" t="str">
        <f t="shared" si="3"/>
        <v>return_code_2116</v>
      </c>
      <c r="B246" t="s">
        <v>3629</v>
      </c>
      <c r="C246" t="s">
        <v>3630</v>
      </c>
    </row>
    <row r="247" spans="1:3" x14ac:dyDescent="0.2">
      <c r="A247" t="str">
        <f t="shared" si="3"/>
        <v>return_code_2117</v>
      </c>
      <c r="B247" t="s">
        <v>3631</v>
      </c>
      <c r="C247" t="s">
        <v>3632</v>
      </c>
    </row>
    <row r="248" spans="1:3" x14ac:dyDescent="0.2">
      <c r="A248" t="str">
        <f t="shared" si="3"/>
        <v>return_code_2118</v>
      </c>
      <c r="B248" t="s">
        <v>3633</v>
      </c>
      <c r="C248" t="s">
        <v>3634</v>
      </c>
    </row>
    <row r="249" spans="1:3" x14ac:dyDescent="0.2">
      <c r="A249" t="str">
        <f t="shared" si="3"/>
        <v>return_code_2119</v>
      </c>
      <c r="B249" t="s">
        <v>3635</v>
      </c>
      <c r="C249" t="s">
        <v>3636</v>
      </c>
    </row>
    <row r="250" spans="1:3" x14ac:dyDescent="0.2">
      <c r="A250" t="str">
        <f t="shared" si="3"/>
        <v>return_code_2120</v>
      </c>
      <c r="B250" t="s">
        <v>3637</v>
      </c>
      <c r="C250" t="s">
        <v>3638</v>
      </c>
    </row>
    <row r="251" spans="1:3" x14ac:dyDescent="0.2">
      <c r="A251" t="str">
        <f t="shared" si="3"/>
        <v>return_code_2121</v>
      </c>
      <c r="B251" t="s">
        <v>3639</v>
      </c>
      <c r="C251" t="s">
        <v>3640</v>
      </c>
    </row>
    <row r="252" spans="1:3" x14ac:dyDescent="0.2">
      <c r="A252" t="str">
        <f t="shared" si="3"/>
        <v>return_code_2122</v>
      </c>
      <c r="B252" t="s">
        <v>3641</v>
      </c>
      <c r="C252" t="s">
        <v>3642</v>
      </c>
    </row>
    <row r="253" spans="1:3" x14ac:dyDescent="0.2">
      <c r="A253" t="str">
        <f t="shared" si="3"/>
        <v>return_code_2123</v>
      </c>
      <c r="B253" t="s">
        <v>3643</v>
      </c>
      <c r="C253" t="s">
        <v>3457</v>
      </c>
    </row>
    <row r="254" spans="1:3" x14ac:dyDescent="0.2">
      <c r="A254" t="str">
        <f t="shared" si="3"/>
        <v>return_code_2124</v>
      </c>
      <c r="B254" t="s">
        <v>3644</v>
      </c>
      <c r="C254" t="s">
        <v>3645</v>
      </c>
    </row>
    <row r="255" spans="1:3" x14ac:dyDescent="0.2">
      <c r="A255" t="str">
        <f t="shared" si="3"/>
        <v>return_code_2125</v>
      </c>
      <c r="B255" t="s">
        <v>3646</v>
      </c>
      <c r="C255" t="s">
        <v>3647</v>
      </c>
    </row>
    <row r="256" spans="1:3" x14ac:dyDescent="0.2">
      <c r="A256" t="str">
        <f t="shared" si="3"/>
        <v>return_code_2126</v>
      </c>
      <c r="B256" t="s">
        <v>3648</v>
      </c>
      <c r="C256" t="s">
        <v>3649</v>
      </c>
    </row>
    <row r="257" spans="1:3" x14ac:dyDescent="0.2">
      <c r="A257" t="str">
        <f t="shared" ref="A257:A320" si="4">CONCATENATE("return_code_",B257)</f>
        <v>return_code_2127</v>
      </c>
      <c r="B257" t="s">
        <v>3650</v>
      </c>
      <c r="C257" t="s">
        <v>3651</v>
      </c>
    </row>
    <row r="258" spans="1:3" x14ac:dyDescent="0.2">
      <c r="A258" t="str">
        <f t="shared" si="4"/>
        <v>return_code_2128</v>
      </c>
      <c r="B258" t="s">
        <v>3652</v>
      </c>
      <c r="C258" t="s">
        <v>3653</v>
      </c>
    </row>
    <row r="259" spans="1:3" x14ac:dyDescent="0.2">
      <c r="A259" t="str">
        <f t="shared" si="4"/>
        <v>return_code_2129</v>
      </c>
      <c r="B259" t="s">
        <v>3654</v>
      </c>
      <c r="C259" t="s">
        <v>3655</v>
      </c>
    </row>
    <row r="260" spans="1:3" x14ac:dyDescent="0.2">
      <c r="A260" t="str">
        <f t="shared" si="4"/>
        <v>return_code_2130</v>
      </c>
      <c r="B260" t="s">
        <v>3656</v>
      </c>
      <c r="C260" t="s">
        <v>3657</v>
      </c>
    </row>
    <row r="261" spans="1:3" x14ac:dyDescent="0.2">
      <c r="A261" t="str">
        <f t="shared" si="4"/>
        <v>return_code_2131</v>
      </c>
      <c r="B261" t="s">
        <v>3658</v>
      </c>
      <c r="C261" t="s">
        <v>3659</v>
      </c>
    </row>
    <row r="262" spans="1:3" x14ac:dyDescent="0.2">
      <c r="A262" t="str">
        <f t="shared" si="4"/>
        <v>return_code_2132</v>
      </c>
      <c r="B262" t="s">
        <v>3660</v>
      </c>
      <c r="C262" t="s">
        <v>3661</v>
      </c>
    </row>
    <row r="263" spans="1:3" x14ac:dyDescent="0.2">
      <c r="A263" t="str">
        <f t="shared" si="4"/>
        <v>return_code_2133</v>
      </c>
      <c r="B263" t="s">
        <v>3662</v>
      </c>
      <c r="C263" t="s">
        <v>3457</v>
      </c>
    </row>
    <row r="264" spans="1:3" x14ac:dyDescent="0.2">
      <c r="A264" t="str">
        <f t="shared" si="4"/>
        <v>return_code_2134</v>
      </c>
      <c r="B264" t="s">
        <v>3663</v>
      </c>
      <c r="C264" t="s">
        <v>3456</v>
      </c>
    </row>
    <row r="265" spans="1:3" x14ac:dyDescent="0.2">
      <c r="A265" t="str">
        <f t="shared" si="4"/>
        <v>return_code_2135</v>
      </c>
      <c r="B265" t="s">
        <v>3664</v>
      </c>
      <c r="C265" t="s">
        <v>3665</v>
      </c>
    </row>
    <row r="266" spans="1:3" x14ac:dyDescent="0.2">
      <c r="A266" t="str">
        <f t="shared" si="4"/>
        <v>return_code_2136</v>
      </c>
      <c r="B266" t="s">
        <v>3666</v>
      </c>
      <c r="C266" t="s">
        <v>3667</v>
      </c>
    </row>
    <row r="267" spans="1:3" x14ac:dyDescent="0.2">
      <c r="A267" t="str">
        <f t="shared" si="4"/>
        <v>return_code_2137</v>
      </c>
      <c r="B267" t="s">
        <v>3668</v>
      </c>
      <c r="C267" t="s">
        <v>3458</v>
      </c>
    </row>
    <row r="268" spans="1:3" x14ac:dyDescent="0.2">
      <c r="A268" t="str">
        <f t="shared" si="4"/>
        <v>return_code_2138</v>
      </c>
      <c r="B268" t="s">
        <v>3669</v>
      </c>
      <c r="C268" t="s">
        <v>3670</v>
      </c>
    </row>
    <row r="269" spans="1:3" x14ac:dyDescent="0.2">
      <c r="A269" t="str">
        <f t="shared" si="4"/>
        <v>return_code_2139</v>
      </c>
      <c r="B269" t="s">
        <v>3671</v>
      </c>
      <c r="C269" t="s">
        <v>3672</v>
      </c>
    </row>
    <row r="270" spans="1:3" x14ac:dyDescent="0.2">
      <c r="A270" t="str">
        <f t="shared" si="4"/>
        <v>return_code_2140</v>
      </c>
      <c r="B270" t="s">
        <v>3673</v>
      </c>
      <c r="C270" t="s">
        <v>3674</v>
      </c>
    </row>
    <row r="271" spans="1:3" x14ac:dyDescent="0.2">
      <c r="A271" t="str">
        <f t="shared" si="4"/>
        <v>return_code_2141</v>
      </c>
      <c r="B271" t="s">
        <v>3675</v>
      </c>
      <c r="C271" t="s">
        <v>3676</v>
      </c>
    </row>
    <row r="272" spans="1:3" x14ac:dyDescent="0.2">
      <c r="A272" t="str">
        <f t="shared" si="4"/>
        <v>return_code_2142</v>
      </c>
      <c r="B272" t="s">
        <v>3677</v>
      </c>
      <c r="C272" t="s">
        <v>3482</v>
      </c>
    </row>
    <row r="273" spans="1:3" x14ac:dyDescent="0.2">
      <c r="A273" t="str">
        <f t="shared" si="4"/>
        <v>return_code_2143</v>
      </c>
      <c r="B273" t="s">
        <v>3678</v>
      </c>
      <c r="C273" t="s">
        <v>3486</v>
      </c>
    </row>
    <row r="274" spans="1:3" x14ac:dyDescent="0.2">
      <c r="A274" t="str">
        <f t="shared" si="4"/>
        <v>return_code_2144</v>
      </c>
      <c r="B274" t="s">
        <v>3679</v>
      </c>
      <c r="C274" t="s">
        <v>3680</v>
      </c>
    </row>
    <row r="275" spans="1:3" x14ac:dyDescent="0.2">
      <c r="A275" t="str">
        <f t="shared" si="4"/>
        <v>return_code_2145</v>
      </c>
      <c r="B275" t="s">
        <v>3681</v>
      </c>
      <c r="C275" t="s">
        <v>3490</v>
      </c>
    </row>
    <row r="276" spans="1:3" x14ac:dyDescent="0.2">
      <c r="A276" t="str">
        <f t="shared" si="4"/>
        <v>return_code_2146</v>
      </c>
      <c r="B276" t="s">
        <v>3682</v>
      </c>
      <c r="C276" t="s">
        <v>3683</v>
      </c>
    </row>
    <row r="277" spans="1:3" x14ac:dyDescent="0.2">
      <c r="A277" t="str">
        <f t="shared" si="4"/>
        <v>return_code_2147</v>
      </c>
      <c r="B277" t="s">
        <v>3684</v>
      </c>
      <c r="C277" t="s">
        <v>3492</v>
      </c>
    </row>
    <row r="278" spans="1:3" x14ac:dyDescent="0.2">
      <c r="A278" t="str">
        <f t="shared" si="4"/>
        <v>return_code_2148</v>
      </c>
      <c r="B278" t="s">
        <v>3685</v>
      </c>
      <c r="C278" t="s">
        <v>3686</v>
      </c>
    </row>
    <row r="279" spans="1:3" x14ac:dyDescent="0.2">
      <c r="A279" t="str">
        <f t="shared" si="4"/>
        <v>return_code_2149</v>
      </c>
      <c r="B279" t="s">
        <v>3687</v>
      </c>
      <c r="C279" t="s">
        <v>3496</v>
      </c>
    </row>
    <row r="280" spans="1:3" x14ac:dyDescent="0.2">
      <c r="A280" t="str">
        <f t="shared" si="4"/>
        <v>return_code_2150</v>
      </c>
      <c r="B280" t="s">
        <v>3688</v>
      </c>
      <c r="C280" t="s">
        <v>3500</v>
      </c>
    </row>
    <row r="281" spans="1:3" x14ac:dyDescent="0.2">
      <c r="A281" t="str">
        <f t="shared" si="4"/>
        <v>return_code_2151</v>
      </c>
      <c r="B281" t="s">
        <v>3689</v>
      </c>
      <c r="C281" t="s">
        <v>3502</v>
      </c>
    </row>
    <row r="282" spans="1:3" x14ac:dyDescent="0.2">
      <c r="A282" t="str">
        <f t="shared" si="4"/>
        <v>return_code_2152</v>
      </c>
      <c r="B282" t="s">
        <v>3690</v>
      </c>
      <c r="C282" t="s">
        <v>3691</v>
      </c>
    </row>
    <row r="283" spans="1:3" x14ac:dyDescent="0.2">
      <c r="A283" t="str">
        <f t="shared" si="4"/>
        <v>return_code_2153</v>
      </c>
      <c r="B283" t="s">
        <v>3692</v>
      </c>
      <c r="C283" t="s">
        <v>3693</v>
      </c>
    </row>
    <row r="284" spans="1:3" x14ac:dyDescent="0.2">
      <c r="A284" t="str">
        <f t="shared" si="4"/>
        <v>return_code_2154</v>
      </c>
      <c r="B284" t="s">
        <v>3694</v>
      </c>
      <c r="C284" t="s">
        <v>3695</v>
      </c>
    </row>
    <row r="285" spans="1:3" x14ac:dyDescent="0.2">
      <c r="A285" t="str">
        <f t="shared" si="4"/>
        <v>return_code_2155</v>
      </c>
      <c r="B285" t="s">
        <v>3696</v>
      </c>
      <c r="C285" t="s">
        <v>3697</v>
      </c>
    </row>
    <row r="286" spans="1:3" x14ac:dyDescent="0.2">
      <c r="A286" t="str">
        <f t="shared" si="4"/>
        <v>return_code_2156</v>
      </c>
      <c r="B286" t="s">
        <v>3698</v>
      </c>
      <c r="C286" t="s">
        <v>3699</v>
      </c>
    </row>
    <row r="287" spans="1:3" x14ac:dyDescent="0.2">
      <c r="A287" t="str">
        <f t="shared" si="4"/>
        <v>return_code_2157</v>
      </c>
      <c r="B287" t="s">
        <v>3700</v>
      </c>
      <c r="C287" t="s">
        <v>3482</v>
      </c>
    </row>
    <row r="288" spans="1:3" x14ac:dyDescent="0.2">
      <c r="A288" t="str">
        <f t="shared" si="4"/>
        <v>return_code_2158</v>
      </c>
      <c r="B288" t="s">
        <v>3701</v>
      </c>
      <c r="C288" t="s">
        <v>3702</v>
      </c>
    </row>
    <row r="289" spans="1:3" x14ac:dyDescent="0.2">
      <c r="A289" t="str">
        <f t="shared" si="4"/>
        <v>return_code_2159</v>
      </c>
      <c r="B289" t="s">
        <v>3703</v>
      </c>
      <c r="C289" t="s">
        <v>3704</v>
      </c>
    </row>
    <row r="290" spans="1:3" x14ac:dyDescent="0.2">
      <c r="A290" t="str">
        <f t="shared" si="4"/>
        <v>return_code_2160</v>
      </c>
      <c r="B290" t="s">
        <v>3705</v>
      </c>
      <c r="C290" t="s">
        <v>3706</v>
      </c>
    </row>
    <row r="291" spans="1:3" x14ac:dyDescent="0.2">
      <c r="A291" t="str">
        <f t="shared" si="4"/>
        <v>return_code_2161</v>
      </c>
      <c r="B291" t="s">
        <v>3707</v>
      </c>
      <c r="C291" t="s">
        <v>3623</v>
      </c>
    </row>
    <row r="292" spans="1:3" x14ac:dyDescent="0.2">
      <c r="A292" t="str">
        <f t="shared" si="4"/>
        <v>return_code_2162</v>
      </c>
      <c r="B292" t="s">
        <v>3708</v>
      </c>
      <c r="C292" t="s">
        <v>3625</v>
      </c>
    </row>
    <row r="293" spans="1:3" x14ac:dyDescent="0.2">
      <c r="A293" t="str">
        <f t="shared" si="4"/>
        <v>return_code_2163</v>
      </c>
      <c r="B293" t="s">
        <v>3709</v>
      </c>
      <c r="C293" t="s">
        <v>3555</v>
      </c>
    </row>
    <row r="294" spans="1:3" x14ac:dyDescent="0.2">
      <c r="A294" t="str">
        <f t="shared" si="4"/>
        <v>return_code_2164</v>
      </c>
      <c r="B294" t="s">
        <v>3710</v>
      </c>
      <c r="C294" t="s">
        <v>3557</v>
      </c>
    </row>
    <row r="295" spans="1:3" x14ac:dyDescent="0.2">
      <c r="A295" t="str">
        <f t="shared" si="4"/>
        <v>return_code_2165</v>
      </c>
      <c r="B295" t="s">
        <v>3711</v>
      </c>
      <c r="C295" t="s">
        <v>3712</v>
      </c>
    </row>
    <row r="296" spans="1:3" x14ac:dyDescent="0.2">
      <c r="A296" t="str">
        <f t="shared" si="4"/>
        <v>return_code_2166</v>
      </c>
      <c r="B296" t="s">
        <v>3713</v>
      </c>
      <c r="C296" t="s">
        <v>3714</v>
      </c>
    </row>
    <row r="297" spans="1:3" x14ac:dyDescent="0.2">
      <c r="A297" t="str">
        <f t="shared" si="4"/>
        <v>return_code_2167</v>
      </c>
      <c r="B297" t="s">
        <v>3715</v>
      </c>
      <c r="C297" t="s">
        <v>3645</v>
      </c>
    </row>
    <row r="298" spans="1:3" x14ac:dyDescent="0.2">
      <c r="A298" t="str">
        <f t="shared" si="4"/>
        <v>return_code_2168</v>
      </c>
      <c r="B298" t="s">
        <v>3716</v>
      </c>
      <c r="C298" t="s">
        <v>3717</v>
      </c>
    </row>
    <row r="299" spans="1:3" x14ac:dyDescent="0.2">
      <c r="A299" t="str">
        <f t="shared" si="4"/>
        <v>return_code_2169</v>
      </c>
      <c r="B299" t="s">
        <v>3718</v>
      </c>
      <c r="C299" t="s">
        <v>3547</v>
      </c>
    </row>
    <row r="300" spans="1:3" x14ac:dyDescent="0.2">
      <c r="A300" t="str">
        <f t="shared" si="4"/>
        <v>return_code_2170</v>
      </c>
      <c r="B300" t="s">
        <v>3719</v>
      </c>
      <c r="C300" t="s">
        <v>3720</v>
      </c>
    </row>
    <row r="301" spans="1:3" x14ac:dyDescent="0.2">
      <c r="A301" t="str">
        <f t="shared" si="4"/>
        <v>return_code_2171</v>
      </c>
      <c r="B301" t="s">
        <v>3721</v>
      </c>
      <c r="C301" t="s">
        <v>3649</v>
      </c>
    </row>
    <row r="302" spans="1:3" x14ac:dyDescent="0.2">
      <c r="A302" t="str">
        <f t="shared" si="4"/>
        <v>return_code_2172</v>
      </c>
      <c r="B302" t="s">
        <v>3722</v>
      </c>
      <c r="C302" t="s">
        <v>3723</v>
      </c>
    </row>
    <row r="303" spans="1:3" x14ac:dyDescent="0.2">
      <c r="A303" t="str">
        <f t="shared" si="4"/>
        <v>return_code_2173</v>
      </c>
      <c r="B303" t="s">
        <v>3724</v>
      </c>
      <c r="C303" t="s">
        <v>3653</v>
      </c>
    </row>
    <row r="304" spans="1:3" x14ac:dyDescent="0.2">
      <c r="A304" t="str">
        <f t="shared" si="4"/>
        <v>return_code_2174</v>
      </c>
      <c r="B304" t="s">
        <v>3725</v>
      </c>
      <c r="C304" t="s">
        <v>3665</v>
      </c>
    </row>
    <row r="305" spans="1:3" x14ac:dyDescent="0.2">
      <c r="A305" t="str">
        <f t="shared" si="4"/>
        <v>return_code_2175</v>
      </c>
      <c r="B305" t="s">
        <v>3726</v>
      </c>
      <c r="C305" t="s">
        <v>3667</v>
      </c>
    </row>
    <row r="306" spans="1:3" x14ac:dyDescent="0.2">
      <c r="A306" t="str">
        <f t="shared" si="4"/>
        <v>return_code_2176</v>
      </c>
      <c r="B306" t="s">
        <v>3727</v>
      </c>
      <c r="C306" t="s">
        <v>3655</v>
      </c>
    </row>
    <row r="307" spans="1:3" x14ac:dyDescent="0.2">
      <c r="A307" t="str">
        <f t="shared" si="4"/>
        <v>return_code_2177</v>
      </c>
      <c r="B307" t="s">
        <v>3728</v>
      </c>
      <c r="C307" t="s">
        <v>3657</v>
      </c>
    </row>
    <row r="308" spans="1:3" x14ac:dyDescent="0.2">
      <c r="A308" t="str">
        <f t="shared" si="4"/>
        <v>return_code_2178</v>
      </c>
      <c r="B308" t="s">
        <v>3729</v>
      </c>
      <c r="C308" t="s">
        <v>3730</v>
      </c>
    </row>
    <row r="309" spans="1:3" x14ac:dyDescent="0.2">
      <c r="A309" t="str">
        <f t="shared" si="4"/>
        <v>return_code_2179</v>
      </c>
      <c r="B309" t="s">
        <v>3731</v>
      </c>
      <c r="C309" t="s">
        <v>3661</v>
      </c>
    </row>
    <row r="310" spans="1:3" x14ac:dyDescent="0.2">
      <c r="A310" t="str">
        <f t="shared" si="4"/>
        <v>return_code_2180</v>
      </c>
      <c r="B310" t="s">
        <v>3732</v>
      </c>
      <c r="C310" t="s">
        <v>3714</v>
      </c>
    </row>
    <row r="311" spans="1:3" x14ac:dyDescent="0.2">
      <c r="A311" t="str">
        <f t="shared" si="4"/>
        <v>return_code_2181</v>
      </c>
      <c r="B311" t="s">
        <v>3733</v>
      </c>
      <c r="C311" t="s">
        <v>3456</v>
      </c>
    </row>
    <row r="312" spans="1:3" x14ac:dyDescent="0.2">
      <c r="A312" t="str">
        <f t="shared" si="4"/>
        <v>return_code_2182</v>
      </c>
      <c r="B312" t="s">
        <v>3734</v>
      </c>
      <c r="C312" t="s">
        <v>3699</v>
      </c>
    </row>
    <row r="313" spans="1:3" x14ac:dyDescent="0.2">
      <c r="A313" t="str">
        <f t="shared" si="4"/>
        <v>return_code_2183</v>
      </c>
      <c r="B313" t="s">
        <v>3735</v>
      </c>
      <c r="C313" t="s">
        <v>3482</v>
      </c>
    </row>
    <row r="314" spans="1:3" x14ac:dyDescent="0.2">
      <c r="A314" t="str">
        <f t="shared" si="4"/>
        <v>return_code_2184</v>
      </c>
      <c r="B314" t="s">
        <v>3736</v>
      </c>
      <c r="C314" t="s">
        <v>3702</v>
      </c>
    </row>
    <row r="315" spans="1:3" x14ac:dyDescent="0.2">
      <c r="A315" t="str">
        <f t="shared" si="4"/>
        <v>return_code_2185</v>
      </c>
      <c r="B315" t="s">
        <v>3737</v>
      </c>
      <c r="C315" t="s">
        <v>3704</v>
      </c>
    </row>
    <row r="316" spans="1:3" x14ac:dyDescent="0.2">
      <c r="A316" t="str">
        <f t="shared" si="4"/>
        <v>return_code_2186</v>
      </c>
      <c r="B316" t="s">
        <v>3738</v>
      </c>
      <c r="C316" t="s">
        <v>3706</v>
      </c>
    </row>
    <row r="317" spans="1:3" x14ac:dyDescent="0.2">
      <c r="A317" t="str">
        <f t="shared" si="4"/>
        <v>return_code_2187</v>
      </c>
      <c r="B317" t="s">
        <v>3739</v>
      </c>
      <c r="C317" t="s">
        <v>3458</v>
      </c>
    </row>
    <row r="318" spans="1:3" x14ac:dyDescent="0.2">
      <c r="A318" t="str">
        <f t="shared" si="4"/>
        <v>return_code_2188</v>
      </c>
      <c r="B318" t="s">
        <v>3740</v>
      </c>
      <c r="C318" t="s">
        <v>3741</v>
      </c>
    </row>
    <row r="319" spans="1:3" x14ac:dyDescent="0.2">
      <c r="A319" t="str">
        <f t="shared" si="4"/>
        <v>return_code_2189</v>
      </c>
      <c r="B319" t="s">
        <v>3742</v>
      </c>
      <c r="C319" t="s">
        <v>3743</v>
      </c>
    </row>
    <row r="320" spans="1:3" x14ac:dyDescent="0.2">
      <c r="A320" t="str">
        <f t="shared" si="4"/>
        <v>return_code_2190</v>
      </c>
      <c r="B320" t="s">
        <v>3744</v>
      </c>
      <c r="C320" t="s">
        <v>3745</v>
      </c>
    </row>
    <row r="321" spans="1:3" x14ac:dyDescent="0.2">
      <c r="A321" t="str">
        <f t="shared" ref="A321:A384" si="5">CONCATENATE("return_code_",B321)</f>
        <v>return_code_2191</v>
      </c>
      <c r="B321" t="s">
        <v>3746</v>
      </c>
      <c r="C321" t="s">
        <v>3747</v>
      </c>
    </row>
    <row r="322" spans="1:3" x14ac:dyDescent="0.2">
      <c r="A322" t="str">
        <f t="shared" si="5"/>
        <v>return_code_2192</v>
      </c>
      <c r="B322" t="s">
        <v>3748</v>
      </c>
      <c r="C322" t="s">
        <v>3749</v>
      </c>
    </row>
    <row r="323" spans="1:3" x14ac:dyDescent="0.2">
      <c r="A323" t="str">
        <f t="shared" si="5"/>
        <v>return_code_2193</v>
      </c>
      <c r="B323" t="s">
        <v>3750</v>
      </c>
      <c r="C323" t="s">
        <v>3480</v>
      </c>
    </row>
    <row r="324" spans="1:3" x14ac:dyDescent="0.2">
      <c r="A324" t="str">
        <f t="shared" si="5"/>
        <v>return_code_2194</v>
      </c>
      <c r="B324" t="s">
        <v>3751</v>
      </c>
      <c r="C324" t="s">
        <v>3482</v>
      </c>
    </row>
    <row r="325" spans="1:3" x14ac:dyDescent="0.2">
      <c r="A325" t="str">
        <f t="shared" si="5"/>
        <v>return_code_2195</v>
      </c>
      <c r="B325" t="s">
        <v>3752</v>
      </c>
      <c r="C325" t="s">
        <v>3486</v>
      </c>
    </row>
    <row r="326" spans="1:3" x14ac:dyDescent="0.2">
      <c r="A326" t="str">
        <f t="shared" si="5"/>
        <v>return_code_2196</v>
      </c>
      <c r="B326" t="s">
        <v>3753</v>
      </c>
      <c r="C326" t="s">
        <v>3680</v>
      </c>
    </row>
    <row r="327" spans="1:3" x14ac:dyDescent="0.2">
      <c r="A327" t="str">
        <f t="shared" si="5"/>
        <v>return_code_2197</v>
      </c>
      <c r="B327" t="s">
        <v>3754</v>
      </c>
      <c r="C327" t="s">
        <v>3490</v>
      </c>
    </row>
    <row r="328" spans="1:3" x14ac:dyDescent="0.2">
      <c r="A328" t="str">
        <f t="shared" si="5"/>
        <v>return_code_2198</v>
      </c>
      <c r="B328" t="s">
        <v>3755</v>
      </c>
      <c r="C328" t="s">
        <v>3683</v>
      </c>
    </row>
    <row r="329" spans="1:3" x14ac:dyDescent="0.2">
      <c r="A329" t="str">
        <f t="shared" si="5"/>
        <v>return_code_2199</v>
      </c>
      <c r="B329" t="s">
        <v>3756</v>
      </c>
      <c r="C329" t="s">
        <v>3492</v>
      </c>
    </row>
    <row r="330" spans="1:3" x14ac:dyDescent="0.2">
      <c r="A330" t="str">
        <f t="shared" si="5"/>
        <v>return_code_2200</v>
      </c>
      <c r="B330" t="s">
        <v>3757</v>
      </c>
      <c r="C330" t="s">
        <v>3686</v>
      </c>
    </row>
    <row r="331" spans="1:3" x14ac:dyDescent="0.2">
      <c r="A331" t="str">
        <f t="shared" si="5"/>
        <v>return_code_2201</v>
      </c>
      <c r="B331" t="s">
        <v>3758</v>
      </c>
      <c r="C331" t="s">
        <v>3759</v>
      </c>
    </row>
    <row r="332" spans="1:3" x14ac:dyDescent="0.2">
      <c r="A332" t="str">
        <f t="shared" si="5"/>
        <v>return_code_2202</v>
      </c>
      <c r="B332" t="s">
        <v>3760</v>
      </c>
      <c r="C332" t="s">
        <v>3695</v>
      </c>
    </row>
    <row r="333" spans="1:3" x14ac:dyDescent="0.2">
      <c r="A333" t="str">
        <f t="shared" si="5"/>
        <v>return_code_2203</v>
      </c>
      <c r="B333" t="s">
        <v>3761</v>
      </c>
      <c r="C333" t="s">
        <v>3697</v>
      </c>
    </row>
    <row r="334" spans="1:3" x14ac:dyDescent="0.2">
      <c r="A334" t="str">
        <f t="shared" si="5"/>
        <v>return_code_2204</v>
      </c>
      <c r="B334" t="s">
        <v>3762</v>
      </c>
      <c r="C334" t="s">
        <v>3763</v>
      </c>
    </row>
    <row r="335" spans="1:3" x14ac:dyDescent="0.2">
      <c r="A335" t="str">
        <f t="shared" si="5"/>
        <v>return_code_2205</v>
      </c>
      <c r="B335" t="s">
        <v>3764</v>
      </c>
      <c r="C335" t="s">
        <v>3765</v>
      </c>
    </row>
    <row r="336" spans="1:3" x14ac:dyDescent="0.2">
      <c r="A336" t="str">
        <f t="shared" si="5"/>
        <v>return_code_2206</v>
      </c>
      <c r="B336" t="s">
        <v>3766</v>
      </c>
      <c r="C336" t="s">
        <v>3767</v>
      </c>
    </row>
    <row r="337" spans="1:3" x14ac:dyDescent="0.2">
      <c r="A337" t="str">
        <f t="shared" si="5"/>
        <v>return_code_2207</v>
      </c>
      <c r="B337" t="s">
        <v>3768</v>
      </c>
      <c r="C337" t="s">
        <v>3769</v>
      </c>
    </row>
    <row r="338" spans="1:3" x14ac:dyDescent="0.2">
      <c r="A338" t="str">
        <f t="shared" si="5"/>
        <v>return_code_2208</v>
      </c>
      <c r="B338" t="s">
        <v>3770</v>
      </c>
      <c r="C338" t="s">
        <v>3771</v>
      </c>
    </row>
    <row r="339" spans="1:3" x14ac:dyDescent="0.2">
      <c r="A339" t="str">
        <f t="shared" si="5"/>
        <v>return_code_2209</v>
      </c>
      <c r="B339" t="s">
        <v>3772</v>
      </c>
      <c r="C339" t="s">
        <v>3773</v>
      </c>
    </row>
    <row r="340" spans="1:3" x14ac:dyDescent="0.2">
      <c r="A340" t="str">
        <f t="shared" si="5"/>
        <v>return_code_2210</v>
      </c>
      <c r="B340" t="s">
        <v>3774</v>
      </c>
      <c r="C340" t="s">
        <v>3775</v>
      </c>
    </row>
    <row r="341" spans="1:3" x14ac:dyDescent="0.2">
      <c r="A341" t="str">
        <f t="shared" si="5"/>
        <v>return_code_2211</v>
      </c>
      <c r="B341" t="s">
        <v>2596</v>
      </c>
      <c r="C341" t="s">
        <v>3776</v>
      </c>
    </row>
    <row r="342" spans="1:3" x14ac:dyDescent="0.2">
      <c r="A342" t="str">
        <f t="shared" si="5"/>
        <v>return_code_2212</v>
      </c>
      <c r="B342" t="s">
        <v>3777</v>
      </c>
      <c r="C342" t="s">
        <v>3778</v>
      </c>
    </row>
    <row r="343" spans="1:3" x14ac:dyDescent="0.2">
      <c r="A343" t="str">
        <f t="shared" si="5"/>
        <v>return_code_2213</v>
      </c>
      <c r="B343" t="s">
        <v>3779</v>
      </c>
      <c r="C343" t="s">
        <v>3780</v>
      </c>
    </row>
    <row r="344" spans="1:3" x14ac:dyDescent="0.2">
      <c r="A344" t="str">
        <f t="shared" si="5"/>
        <v>return_code_2214</v>
      </c>
      <c r="B344" t="s">
        <v>3781</v>
      </c>
      <c r="C344" t="s">
        <v>3782</v>
      </c>
    </row>
    <row r="345" spans="1:3" x14ac:dyDescent="0.2">
      <c r="A345" t="str">
        <f t="shared" si="5"/>
        <v>return_code_2215</v>
      </c>
      <c r="B345" t="s">
        <v>3783</v>
      </c>
      <c r="C345" t="s">
        <v>3784</v>
      </c>
    </row>
    <row r="346" spans="1:3" x14ac:dyDescent="0.2">
      <c r="A346" t="str">
        <f t="shared" si="5"/>
        <v>return_code_2216</v>
      </c>
      <c r="B346" t="s">
        <v>3785</v>
      </c>
      <c r="C346" t="s">
        <v>3313</v>
      </c>
    </row>
    <row r="347" spans="1:3" x14ac:dyDescent="0.2">
      <c r="A347" t="str">
        <f t="shared" si="5"/>
        <v>return_code_2217</v>
      </c>
      <c r="B347" t="s">
        <v>3786</v>
      </c>
      <c r="C347" t="s">
        <v>3787</v>
      </c>
    </row>
    <row r="348" spans="1:3" x14ac:dyDescent="0.2">
      <c r="A348" t="str">
        <f t="shared" si="5"/>
        <v>return_code_2218</v>
      </c>
      <c r="B348" t="s">
        <v>3788</v>
      </c>
      <c r="C348" t="s">
        <v>3331</v>
      </c>
    </row>
    <row r="349" spans="1:3" x14ac:dyDescent="0.2">
      <c r="A349" t="str">
        <f t="shared" si="5"/>
        <v>return_code_2219</v>
      </c>
      <c r="B349" t="s">
        <v>2598</v>
      </c>
      <c r="C349" t="s">
        <v>3333</v>
      </c>
    </row>
    <row r="350" spans="1:3" x14ac:dyDescent="0.2">
      <c r="A350" t="str">
        <f t="shared" si="5"/>
        <v>return_code_2220</v>
      </c>
      <c r="B350" t="s">
        <v>2600</v>
      </c>
      <c r="C350" t="s">
        <v>3789</v>
      </c>
    </row>
    <row r="351" spans="1:3" x14ac:dyDescent="0.2">
      <c r="A351" t="str">
        <f t="shared" si="5"/>
        <v>return_code_2221</v>
      </c>
      <c r="B351" t="s">
        <v>3790</v>
      </c>
      <c r="C351" t="s">
        <v>3791</v>
      </c>
    </row>
    <row r="352" spans="1:3" x14ac:dyDescent="0.2">
      <c r="A352" t="str">
        <f t="shared" si="5"/>
        <v>return_code_2222</v>
      </c>
      <c r="B352" t="s">
        <v>3792</v>
      </c>
      <c r="C352" t="s">
        <v>3793</v>
      </c>
    </row>
    <row r="353" spans="1:3" x14ac:dyDescent="0.2">
      <c r="A353" t="str">
        <f t="shared" si="5"/>
        <v>return_code_2223</v>
      </c>
      <c r="B353" t="s">
        <v>3794</v>
      </c>
      <c r="C353" t="s">
        <v>3795</v>
      </c>
    </row>
    <row r="354" spans="1:3" x14ac:dyDescent="0.2">
      <c r="A354" t="str">
        <f t="shared" si="5"/>
        <v>return_code_2224</v>
      </c>
      <c r="B354" t="s">
        <v>3796</v>
      </c>
      <c r="C354" t="s">
        <v>3616</v>
      </c>
    </row>
    <row r="355" spans="1:3" x14ac:dyDescent="0.2">
      <c r="A355" t="str">
        <f t="shared" si="5"/>
        <v>return_code_2225</v>
      </c>
      <c r="B355" t="s">
        <v>3797</v>
      </c>
      <c r="C355" t="s">
        <v>3610</v>
      </c>
    </row>
    <row r="356" spans="1:3" x14ac:dyDescent="0.2">
      <c r="A356" t="str">
        <f t="shared" si="5"/>
        <v>return_code_2226</v>
      </c>
      <c r="B356" t="s">
        <v>3798</v>
      </c>
      <c r="C356" t="s">
        <v>3439</v>
      </c>
    </row>
    <row r="357" spans="1:3" x14ac:dyDescent="0.2">
      <c r="A357" t="str">
        <f t="shared" si="5"/>
        <v>return_code_2227</v>
      </c>
      <c r="B357" t="s">
        <v>3799</v>
      </c>
      <c r="C357" t="s">
        <v>3442</v>
      </c>
    </row>
    <row r="358" spans="1:3" x14ac:dyDescent="0.2">
      <c r="A358" t="str">
        <f t="shared" si="5"/>
        <v>return_code_2228</v>
      </c>
      <c r="B358" t="s">
        <v>3800</v>
      </c>
      <c r="C358" t="s">
        <v>3714</v>
      </c>
    </row>
    <row r="359" spans="1:3" x14ac:dyDescent="0.2">
      <c r="A359" t="str">
        <f t="shared" si="5"/>
        <v>return_code_2229</v>
      </c>
      <c r="B359" t="s">
        <v>3801</v>
      </c>
      <c r="C359" t="s">
        <v>3645</v>
      </c>
    </row>
    <row r="360" spans="1:3" x14ac:dyDescent="0.2">
      <c r="A360" t="str">
        <f t="shared" si="5"/>
        <v>return_code_2230</v>
      </c>
      <c r="B360" t="s">
        <v>3802</v>
      </c>
      <c r="C360" t="s">
        <v>3335</v>
      </c>
    </row>
    <row r="361" spans="1:3" x14ac:dyDescent="0.2">
      <c r="A361" t="str">
        <f t="shared" si="5"/>
        <v>return_code_2231</v>
      </c>
      <c r="B361" t="s">
        <v>3803</v>
      </c>
      <c r="C361" t="s">
        <v>3322</v>
      </c>
    </row>
    <row r="362" spans="1:3" x14ac:dyDescent="0.2">
      <c r="A362" t="str">
        <f t="shared" si="5"/>
        <v>return_code_2232</v>
      </c>
      <c r="B362" t="s">
        <v>3804</v>
      </c>
      <c r="C362" t="s">
        <v>3324</v>
      </c>
    </row>
    <row r="363" spans="1:3" x14ac:dyDescent="0.2">
      <c r="A363" t="str">
        <f t="shared" si="5"/>
        <v>return_code_2233</v>
      </c>
      <c r="B363" t="s">
        <v>3805</v>
      </c>
      <c r="C363" t="s">
        <v>3806</v>
      </c>
    </row>
    <row r="364" spans="1:3" x14ac:dyDescent="0.2">
      <c r="A364" t="str">
        <f t="shared" si="5"/>
        <v>return_code_2234</v>
      </c>
      <c r="B364" t="s">
        <v>3807</v>
      </c>
      <c r="C364" t="s">
        <v>3808</v>
      </c>
    </row>
    <row r="365" spans="1:3" x14ac:dyDescent="0.2">
      <c r="A365" t="str">
        <f t="shared" si="5"/>
        <v>return_code_2235</v>
      </c>
      <c r="B365" t="s">
        <v>3809</v>
      </c>
      <c r="C365" t="s">
        <v>3810</v>
      </c>
    </row>
    <row r="366" spans="1:3" x14ac:dyDescent="0.2">
      <c r="A366" t="str">
        <f t="shared" si="5"/>
        <v>return_code_2236</v>
      </c>
      <c r="B366" t="s">
        <v>3811</v>
      </c>
      <c r="C366" t="s">
        <v>3812</v>
      </c>
    </row>
    <row r="367" spans="1:3" x14ac:dyDescent="0.2">
      <c r="A367" t="str">
        <f t="shared" si="5"/>
        <v>return_code_2237</v>
      </c>
      <c r="B367" t="s">
        <v>3813</v>
      </c>
      <c r="C367" t="s">
        <v>3814</v>
      </c>
    </row>
    <row r="368" spans="1:3" x14ac:dyDescent="0.2">
      <c r="A368" t="str">
        <f t="shared" si="5"/>
        <v>return_code_2238</v>
      </c>
      <c r="B368" t="s">
        <v>3815</v>
      </c>
      <c r="C368" t="s">
        <v>3816</v>
      </c>
    </row>
    <row r="369" spans="1:3" x14ac:dyDescent="0.2">
      <c r="A369" t="str">
        <f t="shared" si="5"/>
        <v>return_code_2239</v>
      </c>
      <c r="B369" t="s">
        <v>3817</v>
      </c>
      <c r="C369" t="s">
        <v>3818</v>
      </c>
    </row>
    <row r="370" spans="1:3" x14ac:dyDescent="0.2">
      <c r="A370" t="str">
        <f t="shared" si="5"/>
        <v>return_code_2240</v>
      </c>
      <c r="B370" t="s">
        <v>3819</v>
      </c>
      <c r="C370" t="s">
        <v>3820</v>
      </c>
    </row>
    <row r="371" spans="1:3" x14ac:dyDescent="0.2">
      <c r="A371" t="str">
        <f t="shared" si="5"/>
        <v>return_code_2241</v>
      </c>
      <c r="B371" t="s">
        <v>3821</v>
      </c>
      <c r="C371" t="s">
        <v>3822</v>
      </c>
    </row>
    <row r="372" spans="1:3" x14ac:dyDescent="0.2">
      <c r="A372" t="str">
        <f t="shared" si="5"/>
        <v>return_code_2242</v>
      </c>
      <c r="B372" t="s">
        <v>3823</v>
      </c>
      <c r="C372" t="s">
        <v>3824</v>
      </c>
    </row>
    <row r="373" spans="1:3" x14ac:dyDescent="0.2">
      <c r="A373" t="str">
        <f t="shared" si="5"/>
        <v>return_code_2243</v>
      </c>
      <c r="B373" t="s">
        <v>3825</v>
      </c>
      <c r="C373" t="s">
        <v>3826</v>
      </c>
    </row>
    <row r="374" spans="1:3" x14ac:dyDescent="0.2">
      <c r="A374" t="str">
        <f t="shared" si="5"/>
        <v>return_code_2244</v>
      </c>
      <c r="B374" t="s">
        <v>3827</v>
      </c>
      <c r="C374" t="s">
        <v>3828</v>
      </c>
    </row>
    <row r="375" spans="1:3" x14ac:dyDescent="0.2">
      <c r="A375" t="str">
        <f t="shared" si="5"/>
        <v>return_code_2245</v>
      </c>
      <c r="B375" t="s">
        <v>3829</v>
      </c>
      <c r="C375" t="s">
        <v>3830</v>
      </c>
    </row>
    <row r="376" spans="1:3" x14ac:dyDescent="0.2">
      <c r="A376" t="str">
        <f t="shared" si="5"/>
        <v>return_code_2246</v>
      </c>
      <c r="B376" t="s">
        <v>3831</v>
      </c>
      <c r="C376" t="s">
        <v>3832</v>
      </c>
    </row>
    <row r="377" spans="1:3" x14ac:dyDescent="0.2">
      <c r="A377" t="str">
        <f t="shared" si="5"/>
        <v>return_code_2247</v>
      </c>
      <c r="B377" t="s">
        <v>3833</v>
      </c>
      <c r="C377" t="s">
        <v>3834</v>
      </c>
    </row>
    <row r="378" spans="1:3" x14ac:dyDescent="0.2">
      <c r="A378" t="str">
        <f t="shared" si="5"/>
        <v>return_code_2248</v>
      </c>
      <c r="B378" t="s">
        <v>3835</v>
      </c>
      <c r="C378" t="s">
        <v>3836</v>
      </c>
    </row>
    <row r="379" spans="1:3" x14ac:dyDescent="0.2">
      <c r="A379" t="str">
        <f t="shared" si="5"/>
        <v>return_code_2249</v>
      </c>
      <c r="B379" t="s">
        <v>3837</v>
      </c>
      <c r="C379" t="s">
        <v>3838</v>
      </c>
    </row>
    <row r="380" spans="1:3" x14ac:dyDescent="0.2">
      <c r="A380" t="str">
        <f t="shared" si="5"/>
        <v>return_code_2250</v>
      </c>
      <c r="B380" t="s">
        <v>3839</v>
      </c>
      <c r="C380" t="s">
        <v>3840</v>
      </c>
    </row>
    <row r="381" spans="1:3" x14ac:dyDescent="0.2">
      <c r="A381" t="str">
        <f t="shared" si="5"/>
        <v>return_code_2251</v>
      </c>
      <c r="B381" t="s">
        <v>3841</v>
      </c>
      <c r="C381" t="s">
        <v>3842</v>
      </c>
    </row>
    <row r="382" spans="1:3" x14ac:dyDescent="0.2">
      <c r="A382" t="str">
        <f t="shared" si="5"/>
        <v>return_code_2252</v>
      </c>
      <c r="B382" t="s">
        <v>3843</v>
      </c>
      <c r="C382" t="s">
        <v>3844</v>
      </c>
    </row>
    <row r="383" spans="1:3" x14ac:dyDescent="0.2">
      <c r="A383" t="str">
        <f t="shared" si="5"/>
        <v>return_code_2253</v>
      </c>
      <c r="B383" t="s">
        <v>3845</v>
      </c>
      <c r="C383" t="s">
        <v>3846</v>
      </c>
    </row>
    <row r="384" spans="1:3" x14ac:dyDescent="0.2">
      <c r="A384" t="str">
        <f t="shared" si="5"/>
        <v>return_code_2254</v>
      </c>
      <c r="B384" t="s">
        <v>3847</v>
      </c>
      <c r="C384" t="s">
        <v>3848</v>
      </c>
    </row>
    <row r="385" spans="1:3" x14ac:dyDescent="0.2">
      <c r="A385" t="str">
        <f t="shared" ref="A385:A448" si="6">CONCATENATE("return_code_",B385)</f>
        <v>return_code_2255</v>
      </c>
      <c r="B385" t="s">
        <v>3849</v>
      </c>
      <c r="C385" t="s">
        <v>3850</v>
      </c>
    </row>
    <row r="386" spans="1:3" x14ac:dyDescent="0.2">
      <c r="A386" t="str">
        <f t="shared" si="6"/>
        <v>return_code_2256</v>
      </c>
      <c r="B386" t="s">
        <v>3851</v>
      </c>
      <c r="C386" t="s">
        <v>3852</v>
      </c>
    </row>
    <row r="387" spans="1:3" x14ac:dyDescent="0.2">
      <c r="A387" t="str">
        <f t="shared" si="6"/>
        <v>return_code_2257</v>
      </c>
      <c r="B387" t="s">
        <v>3853</v>
      </c>
      <c r="C387" t="s">
        <v>3854</v>
      </c>
    </row>
    <row r="388" spans="1:3" x14ac:dyDescent="0.2">
      <c r="A388" t="str">
        <f t="shared" si="6"/>
        <v>return_code_2258</v>
      </c>
      <c r="B388" t="s">
        <v>3855</v>
      </c>
      <c r="C388" t="s">
        <v>3856</v>
      </c>
    </row>
    <row r="389" spans="1:3" x14ac:dyDescent="0.2">
      <c r="A389" t="str">
        <f t="shared" si="6"/>
        <v>return_code_2259</v>
      </c>
      <c r="B389" t="s">
        <v>3857</v>
      </c>
      <c r="C389" t="s">
        <v>3858</v>
      </c>
    </row>
    <row r="390" spans="1:3" x14ac:dyDescent="0.2">
      <c r="A390" t="str">
        <f t="shared" si="6"/>
        <v>return_code_2260</v>
      </c>
      <c r="B390" t="s">
        <v>3859</v>
      </c>
      <c r="C390" t="s">
        <v>3860</v>
      </c>
    </row>
    <row r="391" spans="1:3" x14ac:dyDescent="0.2">
      <c r="A391" t="str">
        <f t="shared" si="6"/>
        <v>return_code_2261</v>
      </c>
      <c r="B391" t="s">
        <v>3861</v>
      </c>
      <c r="C391" t="s">
        <v>3862</v>
      </c>
    </row>
    <row r="392" spans="1:3" x14ac:dyDescent="0.2">
      <c r="A392" t="str">
        <f t="shared" si="6"/>
        <v>return_code_2262</v>
      </c>
      <c r="B392" t="s">
        <v>3863</v>
      </c>
      <c r="C392" t="s">
        <v>3864</v>
      </c>
    </row>
    <row r="393" spans="1:3" x14ac:dyDescent="0.2">
      <c r="A393" t="str">
        <f t="shared" si="6"/>
        <v>return_code_2263</v>
      </c>
      <c r="B393" t="s">
        <v>3865</v>
      </c>
      <c r="C393" t="s">
        <v>3866</v>
      </c>
    </row>
    <row r="394" spans="1:3" x14ac:dyDescent="0.2">
      <c r="A394" t="str">
        <f t="shared" si="6"/>
        <v>return_code_2264</v>
      </c>
      <c r="B394" t="s">
        <v>3867</v>
      </c>
      <c r="C394" t="s">
        <v>3868</v>
      </c>
    </row>
    <row r="395" spans="1:3" x14ac:dyDescent="0.2">
      <c r="A395" t="str">
        <f t="shared" si="6"/>
        <v>return_code_2265</v>
      </c>
      <c r="B395" t="s">
        <v>3869</v>
      </c>
      <c r="C395" t="s">
        <v>3870</v>
      </c>
    </row>
    <row r="396" spans="1:3" x14ac:dyDescent="0.2">
      <c r="A396" t="str">
        <f t="shared" si="6"/>
        <v>return_code_2266</v>
      </c>
      <c r="B396" t="s">
        <v>3871</v>
      </c>
      <c r="C396" t="s">
        <v>3872</v>
      </c>
    </row>
    <row r="397" spans="1:3" x14ac:dyDescent="0.2">
      <c r="A397" t="str">
        <f t="shared" si="6"/>
        <v>return_code_2267</v>
      </c>
      <c r="B397" t="s">
        <v>3873</v>
      </c>
      <c r="C397" t="s">
        <v>3699</v>
      </c>
    </row>
    <row r="398" spans="1:3" x14ac:dyDescent="0.2">
      <c r="A398" t="str">
        <f t="shared" si="6"/>
        <v>return_code_2268</v>
      </c>
      <c r="B398" t="s">
        <v>3874</v>
      </c>
      <c r="C398" t="s">
        <v>3482</v>
      </c>
    </row>
    <row r="399" spans="1:3" x14ac:dyDescent="0.2">
      <c r="A399" t="str">
        <f t="shared" si="6"/>
        <v>return_code_2269</v>
      </c>
      <c r="B399" t="s">
        <v>3875</v>
      </c>
      <c r="C399" t="s">
        <v>3876</v>
      </c>
    </row>
    <row r="400" spans="1:3" x14ac:dyDescent="0.2">
      <c r="A400" t="str">
        <f t="shared" si="6"/>
        <v>return_code_2270</v>
      </c>
      <c r="B400" t="s">
        <v>3877</v>
      </c>
      <c r="C400" t="s">
        <v>3704</v>
      </c>
    </row>
    <row r="401" spans="1:3" x14ac:dyDescent="0.2">
      <c r="A401" t="str">
        <f t="shared" si="6"/>
        <v>return_code_2271</v>
      </c>
      <c r="B401" t="s">
        <v>3878</v>
      </c>
      <c r="C401" t="s">
        <v>3879</v>
      </c>
    </row>
    <row r="402" spans="1:3" x14ac:dyDescent="0.2">
      <c r="A402" t="str">
        <f t="shared" si="6"/>
        <v>return_code_2272</v>
      </c>
      <c r="B402" t="s">
        <v>3880</v>
      </c>
      <c r="C402" t="s">
        <v>3518</v>
      </c>
    </row>
    <row r="403" spans="1:3" x14ac:dyDescent="0.2">
      <c r="A403" t="str">
        <f t="shared" si="6"/>
        <v>return_code_2273</v>
      </c>
      <c r="B403" t="s">
        <v>3881</v>
      </c>
      <c r="C403" t="s">
        <v>3882</v>
      </c>
    </row>
    <row r="404" spans="1:3" x14ac:dyDescent="0.2">
      <c r="A404" t="str">
        <f t="shared" si="6"/>
        <v>return_code_2274</v>
      </c>
      <c r="B404" t="s">
        <v>3883</v>
      </c>
      <c r="C404" t="s">
        <v>3884</v>
      </c>
    </row>
    <row r="405" spans="1:3" x14ac:dyDescent="0.2">
      <c r="A405" t="str">
        <f t="shared" si="6"/>
        <v>return_code_2275</v>
      </c>
      <c r="B405" t="s">
        <v>3885</v>
      </c>
      <c r="C405" t="s">
        <v>3886</v>
      </c>
    </row>
    <row r="406" spans="1:3" x14ac:dyDescent="0.2">
      <c r="A406" t="str">
        <f t="shared" si="6"/>
        <v>return_code_2276</v>
      </c>
      <c r="B406" t="s">
        <v>3887</v>
      </c>
      <c r="C406" t="s">
        <v>3888</v>
      </c>
    </row>
    <row r="407" spans="1:3" x14ac:dyDescent="0.2">
      <c r="A407" t="str">
        <f t="shared" si="6"/>
        <v>return_code_2277</v>
      </c>
      <c r="B407" t="s">
        <v>3889</v>
      </c>
      <c r="C407" t="s">
        <v>3890</v>
      </c>
    </row>
    <row r="408" spans="1:3" x14ac:dyDescent="0.2">
      <c r="A408" t="str">
        <f t="shared" si="6"/>
        <v>return_code_2278</v>
      </c>
      <c r="B408" t="s">
        <v>3891</v>
      </c>
      <c r="C408" t="s">
        <v>3892</v>
      </c>
    </row>
    <row r="409" spans="1:3" x14ac:dyDescent="0.2">
      <c r="A409" t="str">
        <f t="shared" si="6"/>
        <v>return_code_2279</v>
      </c>
      <c r="B409" t="s">
        <v>3893</v>
      </c>
      <c r="C409" t="s">
        <v>3894</v>
      </c>
    </row>
    <row r="410" spans="1:3" x14ac:dyDescent="0.2">
      <c r="A410" t="str">
        <f t="shared" si="6"/>
        <v>return_code_2280</v>
      </c>
      <c r="B410" t="s">
        <v>3895</v>
      </c>
      <c r="C410" t="s">
        <v>3896</v>
      </c>
    </row>
    <row r="411" spans="1:3" x14ac:dyDescent="0.2">
      <c r="A411" t="str">
        <f t="shared" si="6"/>
        <v>return_code_2281</v>
      </c>
      <c r="B411" t="s">
        <v>3897</v>
      </c>
      <c r="C411" t="s">
        <v>3898</v>
      </c>
    </row>
    <row r="412" spans="1:3" x14ac:dyDescent="0.2">
      <c r="A412" t="str">
        <f t="shared" si="6"/>
        <v>return_code_2282</v>
      </c>
      <c r="B412" t="s">
        <v>3899</v>
      </c>
      <c r="C412" t="s">
        <v>3900</v>
      </c>
    </row>
    <row r="413" spans="1:3" x14ac:dyDescent="0.2">
      <c r="A413" t="str">
        <f t="shared" si="6"/>
        <v>return_code_2283</v>
      </c>
      <c r="B413" t="s">
        <v>3901</v>
      </c>
      <c r="C413" t="s">
        <v>3902</v>
      </c>
    </row>
    <row r="414" spans="1:3" x14ac:dyDescent="0.2">
      <c r="A414" t="str">
        <f t="shared" si="6"/>
        <v>return_code_2284</v>
      </c>
      <c r="B414" t="s">
        <v>3903</v>
      </c>
      <c r="C414" t="s">
        <v>3904</v>
      </c>
    </row>
    <row r="415" spans="1:3" x14ac:dyDescent="0.2">
      <c r="A415" t="str">
        <f t="shared" si="6"/>
        <v>return_code_2285</v>
      </c>
      <c r="B415" t="s">
        <v>3905</v>
      </c>
      <c r="C415" t="s">
        <v>3906</v>
      </c>
    </row>
    <row r="416" spans="1:3" x14ac:dyDescent="0.2">
      <c r="A416" t="str">
        <f t="shared" si="6"/>
        <v>return_code_2286</v>
      </c>
      <c r="B416" t="s">
        <v>3907</v>
      </c>
      <c r="C416" t="s">
        <v>3791</v>
      </c>
    </row>
    <row r="417" spans="1:3" x14ac:dyDescent="0.2">
      <c r="A417" t="str">
        <f t="shared" si="6"/>
        <v>return_code_2287</v>
      </c>
      <c r="B417" t="s">
        <v>3908</v>
      </c>
      <c r="C417" t="s">
        <v>3331</v>
      </c>
    </row>
    <row r="418" spans="1:3" x14ac:dyDescent="0.2">
      <c r="A418" t="str">
        <f t="shared" si="6"/>
        <v>return_code_2288</v>
      </c>
      <c r="B418" t="s">
        <v>3909</v>
      </c>
      <c r="C418" t="s">
        <v>3333</v>
      </c>
    </row>
    <row r="419" spans="1:3" x14ac:dyDescent="0.2">
      <c r="A419" t="str">
        <f t="shared" si="6"/>
        <v>return_code_2289</v>
      </c>
      <c r="B419" t="s">
        <v>3910</v>
      </c>
      <c r="C419" t="s">
        <v>3329</v>
      </c>
    </row>
    <row r="420" spans="1:3" x14ac:dyDescent="0.2">
      <c r="A420" t="str">
        <f t="shared" si="6"/>
        <v>return_code_2290</v>
      </c>
      <c r="B420" t="s">
        <v>3911</v>
      </c>
      <c r="C420" t="s">
        <v>3787</v>
      </c>
    </row>
    <row r="421" spans="1:3" x14ac:dyDescent="0.2">
      <c r="A421" t="str">
        <f t="shared" si="6"/>
        <v>return_code_2291</v>
      </c>
      <c r="B421" t="s">
        <v>3912</v>
      </c>
      <c r="C421" t="s">
        <v>3913</v>
      </c>
    </row>
    <row r="422" spans="1:3" x14ac:dyDescent="0.2">
      <c r="A422" t="str">
        <f t="shared" si="6"/>
        <v>return_code_2292</v>
      </c>
      <c r="B422" t="s">
        <v>3914</v>
      </c>
      <c r="C422" t="s">
        <v>3616</v>
      </c>
    </row>
    <row r="423" spans="1:3" x14ac:dyDescent="0.2">
      <c r="A423" t="str">
        <f t="shared" si="6"/>
        <v>return_code_2293</v>
      </c>
      <c r="B423" t="s">
        <v>3915</v>
      </c>
      <c r="C423" t="s">
        <v>3610</v>
      </c>
    </row>
    <row r="424" spans="1:3" x14ac:dyDescent="0.2">
      <c r="A424" t="str">
        <f t="shared" si="6"/>
        <v>return_code_2294</v>
      </c>
      <c r="B424" t="s">
        <v>3916</v>
      </c>
      <c r="C424" t="s">
        <v>3439</v>
      </c>
    </row>
    <row r="425" spans="1:3" x14ac:dyDescent="0.2">
      <c r="A425" t="str">
        <f t="shared" si="6"/>
        <v>return_code_2295</v>
      </c>
      <c r="B425" t="s">
        <v>3917</v>
      </c>
      <c r="C425" t="s">
        <v>3442</v>
      </c>
    </row>
    <row r="426" spans="1:3" x14ac:dyDescent="0.2">
      <c r="A426" t="str">
        <f t="shared" si="6"/>
        <v>return_code_2296</v>
      </c>
      <c r="B426" t="s">
        <v>3918</v>
      </c>
      <c r="C426" t="s">
        <v>3714</v>
      </c>
    </row>
    <row r="427" spans="1:3" x14ac:dyDescent="0.2">
      <c r="A427" t="str">
        <f t="shared" si="6"/>
        <v>return_code_2297</v>
      </c>
      <c r="B427" t="s">
        <v>3919</v>
      </c>
      <c r="C427" t="s">
        <v>3645</v>
      </c>
    </row>
    <row r="428" spans="1:3" x14ac:dyDescent="0.2">
      <c r="A428" t="str">
        <f t="shared" si="6"/>
        <v>return_code_2298</v>
      </c>
      <c r="B428" t="s">
        <v>3920</v>
      </c>
      <c r="C428" t="s">
        <v>3335</v>
      </c>
    </row>
    <row r="429" spans="1:3" x14ac:dyDescent="0.2">
      <c r="A429" t="str">
        <f t="shared" si="6"/>
        <v>return_code_2299</v>
      </c>
      <c r="B429" t="s">
        <v>3921</v>
      </c>
      <c r="C429" t="s">
        <v>3322</v>
      </c>
    </row>
    <row r="430" spans="1:3" x14ac:dyDescent="0.2">
      <c r="A430" t="str">
        <f t="shared" si="6"/>
        <v>return_code_2300</v>
      </c>
      <c r="B430" t="s">
        <v>3922</v>
      </c>
      <c r="C430" t="s">
        <v>3923</v>
      </c>
    </row>
    <row r="431" spans="1:3" x14ac:dyDescent="0.2">
      <c r="A431" t="str">
        <f t="shared" si="6"/>
        <v>return_code_2301</v>
      </c>
      <c r="B431" t="s">
        <v>3924</v>
      </c>
      <c r="C431" t="s">
        <v>3812</v>
      </c>
    </row>
    <row r="432" spans="1:3" x14ac:dyDescent="0.2">
      <c r="A432" t="str">
        <f t="shared" si="6"/>
        <v>return_code_2302</v>
      </c>
      <c r="B432" t="s">
        <v>3925</v>
      </c>
      <c r="C432" t="s">
        <v>3806</v>
      </c>
    </row>
    <row r="433" spans="1:3" x14ac:dyDescent="0.2">
      <c r="A433" t="str">
        <f t="shared" si="6"/>
        <v>return_code_2303</v>
      </c>
      <c r="B433" t="s">
        <v>3926</v>
      </c>
      <c r="C433" t="s">
        <v>3808</v>
      </c>
    </row>
    <row r="434" spans="1:3" x14ac:dyDescent="0.2">
      <c r="A434" t="str">
        <f t="shared" si="6"/>
        <v>return_code_2304</v>
      </c>
      <c r="B434" t="s">
        <v>3927</v>
      </c>
      <c r="C434" t="s">
        <v>3928</v>
      </c>
    </row>
    <row r="435" spans="1:3" x14ac:dyDescent="0.2">
      <c r="A435" t="str">
        <f t="shared" si="6"/>
        <v>return_code_2305</v>
      </c>
      <c r="B435" t="s">
        <v>3929</v>
      </c>
      <c r="C435" t="s">
        <v>3816</v>
      </c>
    </row>
    <row r="436" spans="1:3" x14ac:dyDescent="0.2">
      <c r="A436" t="str">
        <f t="shared" si="6"/>
        <v>return_code_2306</v>
      </c>
      <c r="B436" t="s">
        <v>3930</v>
      </c>
      <c r="C436" t="s">
        <v>3818</v>
      </c>
    </row>
    <row r="437" spans="1:3" x14ac:dyDescent="0.2">
      <c r="A437" t="str">
        <f t="shared" si="6"/>
        <v>return_code_2307</v>
      </c>
      <c r="B437" t="s">
        <v>3931</v>
      </c>
      <c r="C437" t="s">
        <v>3932</v>
      </c>
    </row>
    <row r="438" spans="1:3" x14ac:dyDescent="0.2">
      <c r="A438" t="str">
        <f t="shared" si="6"/>
        <v>return_code_2308</v>
      </c>
      <c r="B438" t="s">
        <v>3933</v>
      </c>
      <c r="C438" t="s">
        <v>3822</v>
      </c>
    </row>
    <row r="439" spans="1:3" x14ac:dyDescent="0.2">
      <c r="A439" t="str">
        <f t="shared" si="6"/>
        <v>return_code_2309</v>
      </c>
      <c r="B439" t="s">
        <v>3934</v>
      </c>
      <c r="C439" t="s">
        <v>3935</v>
      </c>
    </row>
    <row r="440" spans="1:3" x14ac:dyDescent="0.2">
      <c r="A440" t="str">
        <f t="shared" si="6"/>
        <v>return_code_2310</v>
      </c>
      <c r="B440" t="s">
        <v>2602</v>
      </c>
      <c r="C440" t="s">
        <v>3826</v>
      </c>
    </row>
    <row r="441" spans="1:3" x14ac:dyDescent="0.2">
      <c r="A441" t="str">
        <f t="shared" si="6"/>
        <v>return_code_2311</v>
      </c>
      <c r="B441" t="s">
        <v>3936</v>
      </c>
      <c r="C441" t="s">
        <v>3937</v>
      </c>
    </row>
    <row r="442" spans="1:3" x14ac:dyDescent="0.2">
      <c r="A442" t="str">
        <f t="shared" si="6"/>
        <v>return_code_2312</v>
      </c>
      <c r="B442" t="s">
        <v>3938</v>
      </c>
      <c r="C442" t="s">
        <v>3939</v>
      </c>
    </row>
    <row r="443" spans="1:3" x14ac:dyDescent="0.2">
      <c r="A443" t="str">
        <f t="shared" si="6"/>
        <v>return_code_2313</v>
      </c>
      <c r="B443" t="s">
        <v>3940</v>
      </c>
      <c r="C443" t="s">
        <v>3941</v>
      </c>
    </row>
    <row r="444" spans="1:3" x14ac:dyDescent="0.2">
      <c r="A444" t="str">
        <f t="shared" si="6"/>
        <v>return_code_2314</v>
      </c>
      <c r="B444" t="s">
        <v>3942</v>
      </c>
      <c r="C444" t="s">
        <v>3943</v>
      </c>
    </row>
    <row r="445" spans="1:3" x14ac:dyDescent="0.2">
      <c r="A445" t="str">
        <f t="shared" si="6"/>
        <v>return_code_2315</v>
      </c>
      <c r="B445" t="s">
        <v>3944</v>
      </c>
      <c r="C445" t="s">
        <v>3945</v>
      </c>
    </row>
    <row r="446" spans="1:3" x14ac:dyDescent="0.2">
      <c r="A446" t="str">
        <f t="shared" si="6"/>
        <v>return_code_2316</v>
      </c>
      <c r="B446" t="s">
        <v>3946</v>
      </c>
      <c r="C446" t="s">
        <v>3947</v>
      </c>
    </row>
    <row r="447" spans="1:3" x14ac:dyDescent="0.2">
      <c r="A447" t="str">
        <f t="shared" si="6"/>
        <v>return_code_2317</v>
      </c>
      <c r="B447" t="s">
        <v>3948</v>
      </c>
      <c r="C447" t="s">
        <v>3949</v>
      </c>
    </row>
    <row r="448" spans="1:3" x14ac:dyDescent="0.2">
      <c r="A448" t="str">
        <f t="shared" si="6"/>
        <v>return_code_2318</v>
      </c>
      <c r="B448" t="s">
        <v>3950</v>
      </c>
      <c r="C448" t="s">
        <v>3623</v>
      </c>
    </row>
    <row r="449" spans="1:3" x14ac:dyDescent="0.2">
      <c r="A449" t="str">
        <f t="shared" ref="A449:A512" si="7">CONCATENATE("return_code_",B449)</f>
        <v>return_code_2319</v>
      </c>
      <c r="B449" t="s">
        <v>3951</v>
      </c>
      <c r="C449" t="s">
        <v>3784</v>
      </c>
    </row>
    <row r="450" spans="1:3" x14ac:dyDescent="0.2">
      <c r="A450" t="str">
        <f t="shared" si="7"/>
        <v>return_code_2320</v>
      </c>
      <c r="B450" t="s">
        <v>3952</v>
      </c>
      <c r="C450" t="s">
        <v>3953</v>
      </c>
    </row>
    <row r="451" spans="1:3" x14ac:dyDescent="0.2">
      <c r="A451" t="str">
        <f t="shared" si="7"/>
        <v>return_code_2321</v>
      </c>
      <c r="B451" t="s">
        <v>3954</v>
      </c>
      <c r="C451" t="s">
        <v>3780</v>
      </c>
    </row>
    <row r="452" spans="1:3" x14ac:dyDescent="0.2">
      <c r="A452" t="str">
        <f t="shared" si="7"/>
        <v>return_code_2322</v>
      </c>
      <c r="B452" t="s">
        <v>3955</v>
      </c>
      <c r="C452" t="s">
        <v>3956</v>
      </c>
    </row>
    <row r="453" spans="1:3" x14ac:dyDescent="0.2">
      <c r="A453" t="str">
        <f t="shared" si="7"/>
        <v>return_code_2323</v>
      </c>
      <c r="B453" t="s">
        <v>3957</v>
      </c>
      <c r="C453" t="s">
        <v>3958</v>
      </c>
    </row>
    <row r="454" spans="1:3" x14ac:dyDescent="0.2">
      <c r="A454" t="str">
        <f t="shared" si="7"/>
        <v>return_code_2324</v>
      </c>
      <c r="B454" t="s">
        <v>3959</v>
      </c>
      <c r="C454" t="s">
        <v>3960</v>
      </c>
    </row>
    <row r="455" spans="1:3" x14ac:dyDescent="0.2">
      <c r="A455" t="str">
        <f t="shared" si="7"/>
        <v>return_code_2325</v>
      </c>
      <c r="B455" t="s">
        <v>3961</v>
      </c>
      <c r="C455" t="s">
        <v>3962</v>
      </c>
    </row>
    <row r="456" spans="1:3" x14ac:dyDescent="0.2">
      <c r="A456" t="str">
        <f t="shared" si="7"/>
        <v>return_code_2326</v>
      </c>
      <c r="B456" t="s">
        <v>3963</v>
      </c>
      <c r="C456" t="s">
        <v>3964</v>
      </c>
    </row>
    <row r="457" spans="1:3" x14ac:dyDescent="0.2">
      <c r="A457" t="str">
        <f t="shared" si="7"/>
        <v>return_code_2327</v>
      </c>
      <c r="B457" t="s">
        <v>3965</v>
      </c>
      <c r="C457" t="s">
        <v>3966</v>
      </c>
    </row>
    <row r="458" spans="1:3" x14ac:dyDescent="0.2">
      <c r="A458" t="str">
        <f t="shared" si="7"/>
        <v>return_code_2328</v>
      </c>
      <c r="B458" t="s">
        <v>3967</v>
      </c>
      <c r="C458" t="s">
        <v>3968</v>
      </c>
    </row>
    <row r="459" spans="1:3" x14ac:dyDescent="0.2">
      <c r="A459" t="str">
        <f t="shared" si="7"/>
        <v>return_code_2329</v>
      </c>
      <c r="B459" t="s">
        <v>3969</v>
      </c>
      <c r="C459" t="s">
        <v>3970</v>
      </c>
    </row>
    <row r="460" spans="1:3" x14ac:dyDescent="0.2">
      <c r="A460" t="str">
        <f t="shared" si="7"/>
        <v>return_code_2330</v>
      </c>
      <c r="B460" t="s">
        <v>3971</v>
      </c>
      <c r="C460" t="s">
        <v>3972</v>
      </c>
    </row>
    <row r="461" spans="1:3" x14ac:dyDescent="0.2">
      <c r="A461" t="str">
        <f t="shared" si="7"/>
        <v>return_code_2331</v>
      </c>
      <c r="B461" t="s">
        <v>3973</v>
      </c>
      <c r="C461" t="s">
        <v>3356</v>
      </c>
    </row>
    <row r="462" spans="1:3" x14ac:dyDescent="0.2">
      <c r="A462" t="str">
        <f t="shared" si="7"/>
        <v>return_code_2332</v>
      </c>
      <c r="B462" t="s">
        <v>3974</v>
      </c>
      <c r="C462" t="s">
        <v>3975</v>
      </c>
    </row>
    <row r="463" spans="1:3" x14ac:dyDescent="0.2">
      <c r="A463" t="str">
        <f t="shared" si="7"/>
        <v>return_code_2333</v>
      </c>
      <c r="B463" t="s">
        <v>3976</v>
      </c>
      <c r="C463" t="s">
        <v>3360</v>
      </c>
    </row>
    <row r="464" spans="1:3" x14ac:dyDescent="0.2">
      <c r="A464" t="str">
        <f t="shared" si="7"/>
        <v>return_code_2334</v>
      </c>
      <c r="B464" t="s">
        <v>3977</v>
      </c>
      <c r="C464" t="s">
        <v>3978</v>
      </c>
    </row>
    <row r="465" spans="1:3" x14ac:dyDescent="0.2">
      <c r="A465" t="str">
        <f t="shared" si="7"/>
        <v>return_code_2335</v>
      </c>
      <c r="B465" t="s">
        <v>3979</v>
      </c>
      <c r="C465" t="s">
        <v>3978</v>
      </c>
    </row>
    <row r="466" spans="1:3" x14ac:dyDescent="0.2">
      <c r="A466" t="str">
        <f t="shared" si="7"/>
        <v>return_code_2336</v>
      </c>
      <c r="B466" t="s">
        <v>3980</v>
      </c>
      <c r="C466" t="s">
        <v>3981</v>
      </c>
    </row>
    <row r="467" spans="1:3" x14ac:dyDescent="0.2">
      <c r="A467" t="str">
        <f t="shared" si="7"/>
        <v>return_code_2337</v>
      </c>
      <c r="B467" t="s">
        <v>3982</v>
      </c>
      <c r="C467" t="s">
        <v>3983</v>
      </c>
    </row>
    <row r="468" spans="1:3" x14ac:dyDescent="0.2">
      <c r="A468" t="str">
        <f t="shared" si="7"/>
        <v>return_code_2338</v>
      </c>
      <c r="B468" t="s">
        <v>3984</v>
      </c>
      <c r="C468" t="s">
        <v>3983</v>
      </c>
    </row>
    <row r="469" spans="1:3" x14ac:dyDescent="0.2">
      <c r="A469" t="str">
        <f t="shared" si="7"/>
        <v>return_code_2339</v>
      </c>
      <c r="B469" t="s">
        <v>3985</v>
      </c>
      <c r="C469" t="s">
        <v>3496</v>
      </c>
    </row>
    <row r="470" spans="1:3" x14ac:dyDescent="0.2">
      <c r="A470" t="str">
        <f t="shared" si="7"/>
        <v>return_code_2340</v>
      </c>
      <c r="B470" t="s">
        <v>3986</v>
      </c>
      <c r="C470" t="s">
        <v>3500</v>
      </c>
    </row>
    <row r="471" spans="1:3" x14ac:dyDescent="0.2">
      <c r="A471" t="str">
        <f t="shared" si="7"/>
        <v>return_code_2341</v>
      </c>
      <c r="B471" t="s">
        <v>3987</v>
      </c>
      <c r="C471" t="s">
        <v>3502</v>
      </c>
    </row>
    <row r="472" spans="1:3" x14ac:dyDescent="0.2">
      <c r="A472" t="str">
        <f t="shared" si="7"/>
        <v>return_code_2342</v>
      </c>
      <c r="B472" t="s">
        <v>3988</v>
      </c>
      <c r="C472" t="s">
        <v>3989</v>
      </c>
    </row>
    <row r="473" spans="1:3" x14ac:dyDescent="0.2">
      <c r="A473" t="str">
        <f t="shared" si="7"/>
        <v>return_code_2343</v>
      </c>
      <c r="B473" t="s">
        <v>3990</v>
      </c>
      <c r="C473" t="s">
        <v>3991</v>
      </c>
    </row>
    <row r="474" spans="1:3" x14ac:dyDescent="0.2">
      <c r="A474" t="str">
        <f t="shared" si="7"/>
        <v>return_code_2344</v>
      </c>
      <c r="B474" t="s">
        <v>3992</v>
      </c>
      <c r="C474" t="s">
        <v>3993</v>
      </c>
    </row>
    <row r="475" spans="1:3" x14ac:dyDescent="0.2">
      <c r="A475" t="str">
        <f t="shared" si="7"/>
        <v>return_code_2345</v>
      </c>
      <c r="B475" t="s">
        <v>3994</v>
      </c>
      <c r="C475" t="s">
        <v>3995</v>
      </c>
    </row>
    <row r="476" spans="1:3" x14ac:dyDescent="0.2">
      <c r="A476" t="str">
        <f t="shared" si="7"/>
        <v>return_code_2346</v>
      </c>
      <c r="B476" t="s">
        <v>3996</v>
      </c>
      <c r="C476" t="s">
        <v>3997</v>
      </c>
    </row>
    <row r="477" spans="1:3" x14ac:dyDescent="0.2">
      <c r="A477" t="str">
        <f t="shared" si="7"/>
        <v>return_code_2347</v>
      </c>
      <c r="B477" t="s">
        <v>3998</v>
      </c>
      <c r="C477" t="s">
        <v>3999</v>
      </c>
    </row>
    <row r="478" spans="1:3" x14ac:dyDescent="0.2">
      <c r="A478" t="str">
        <f t="shared" si="7"/>
        <v>return_code_2348</v>
      </c>
      <c r="B478" t="s">
        <v>4000</v>
      </c>
      <c r="C478" t="s">
        <v>4001</v>
      </c>
    </row>
    <row r="479" spans="1:3" x14ac:dyDescent="0.2">
      <c r="A479" t="str">
        <f t="shared" si="7"/>
        <v>return_code_2349</v>
      </c>
      <c r="B479" t="s">
        <v>4002</v>
      </c>
      <c r="C479" t="s">
        <v>4003</v>
      </c>
    </row>
    <row r="480" spans="1:3" x14ac:dyDescent="0.2">
      <c r="A480" t="str">
        <f t="shared" si="7"/>
        <v>return_code_2350</v>
      </c>
      <c r="B480" t="s">
        <v>4004</v>
      </c>
      <c r="C480" t="s">
        <v>4005</v>
      </c>
    </row>
    <row r="481" spans="1:3" x14ac:dyDescent="0.2">
      <c r="A481" t="str">
        <f t="shared" si="7"/>
        <v>return_code_2351</v>
      </c>
      <c r="B481" t="s">
        <v>4006</v>
      </c>
      <c r="C481" t="s">
        <v>4007</v>
      </c>
    </row>
    <row r="482" spans="1:3" x14ac:dyDescent="0.2">
      <c r="A482" t="str">
        <f t="shared" si="7"/>
        <v>return_code_2352</v>
      </c>
      <c r="B482" t="s">
        <v>4008</v>
      </c>
      <c r="C482" t="s">
        <v>4009</v>
      </c>
    </row>
    <row r="483" spans="1:3" x14ac:dyDescent="0.2">
      <c r="A483" t="str">
        <f t="shared" si="7"/>
        <v>return_code_2353</v>
      </c>
      <c r="B483" t="s">
        <v>4010</v>
      </c>
      <c r="C483" t="s">
        <v>4011</v>
      </c>
    </row>
    <row r="484" spans="1:3" x14ac:dyDescent="0.2">
      <c r="A484" t="str">
        <f t="shared" si="7"/>
        <v>return_code_2354</v>
      </c>
      <c r="B484" t="s">
        <v>4012</v>
      </c>
      <c r="C484" t="s">
        <v>4013</v>
      </c>
    </row>
    <row r="485" spans="1:3" x14ac:dyDescent="0.2">
      <c r="A485" t="str">
        <f t="shared" si="7"/>
        <v>return_code_2355</v>
      </c>
      <c r="B485" t="s">
        <v>4014</v>
      </c>
      <c r="C485" t="s">
        <v>4015</v>
      </c>
    </row>
    <row r="486" spans="1:3" x14ac:dyDescent="0.2">
      <c r="A486" t="str">
        <f t="shared" si="7"/>
        <v>return_code_2356</v>
      </c>
      <c r="B486" t="s">
        <v>4016</v>
      </c>
      <c r="C486" t="s">
        <v>4017</v>
      </c>
    </row>
    <row r="487" spans="1:3" x14ac:dyDescent="0.2">
      <c r="A487" t="str">
        <f t="shared" si="7"/>
        <v>return_code_2357</v>
      </c>
      <c r="B487" t="s">
        <v>4018</v>
      </c>
      <c r="C487" t="s">
        <v>4019</v>
      </c>
    </row>
    <row r="488" spans="1:3" x14ac:dyDescent="0.2">
      <c r="A488" t="str">
        <f t="shared" si="7"/>
        <v>return_code_2358</v>
      </c>
      <c r="B488" t="s">
        <v>4020</v>
      </c>
      <c r="C488" t="s">
        <v>4021</v>
      </c>
    </row>
    <row r="489" spans="1:3" x14ac:dyDescent="0.2">
      <c r="A489" t="str">
        <f t="shared" si="7"/>
        <v>return_code_2359</v>
      </c>
      <c r="B489" t="s">
        <v>4022</v>
      </c>
      <c r="C489" t="s">
        <v>4023</v>
      </c>
    </row>
    <row r="490" spans="1:3" x14ac:dyDescent="0.2">
      <c r="A490" t="str">
        <f t="shared" si="7"/>
        <v>return_code_2360</v>
      </c>
      <c r="B490" t="s">
        <v>4024</v>
      </c>
      <c r="C490" t="s">
        <v>4025</v>
      </c>
    </row>
    <row r="491" spans="1:3" x14ac:dyDescent="0.2">
      <c r="A491" t="str">
        <f t="shared" si="7"/>
        <v>return_code_2361</v>
      </c>
      <c r="B491" t="s">
        <v>4026</v>
      </c>
      <c r="C491" t="s">
        <v>4027</v>
      </c>
    </row>
    <row r="492" spans="1:3" x14ac:dyDescent="0.2">
      <c r="A492" t="str">
        <f t="shared" si="7"/>
        <v>return_code_2362</v>
      </c>
      <c r="B492" t="s">
        <v>4028</v>
      </c>
      <c r="C492" t="s">
        <v>4029</v>
      </c>
    </row>
    <row r="493" spans="1:3" x14ac:dyDescent="0.2">
      <c r="A493" t="str">
        <f t="shared" si="7"/>
        <v>return_code_2363</v>
      </c>
      <c r="B493" t="s">
        <v>4030</v>
      </c>
      <c r="C493" t="s">
        <v>4031</v>
      </c>
    </row>
    <row r="494" spans="1:3" x14ac:dyDescent="0.2">
      <c r="A494" t="str">
        <f t="shared" si="7"/>
        <v>return_code_2364</v>
      </c>
      <c r="B494" t="s">
        <v>4032</v>
      </c>
      <c r="C494" t="s">
        <v>4033</v>
      </c>
    </row>
    <row r="495" spans="1:3" x14ac:dyDescent="0.2">
      <c r="A495" t="str">
        <f t="shared" si="7"/>
        <v>return_code_2365</v>
      </c>
      <c r="B495" t="s">
        <v>4034</v>
      </c>
      <c r="C495" t="s">
        <v>4035</v>
      </c>
    </row>
    <row r="496" spans="1:3" x14ac:dyDescent="0.2">
      <c r="A496" t="str">
        <f t="shared" si="7"/>
        <v>return_code_2366</v>
      </c>
      <c r="B496" t="s">
        <v>4036</v>
      </c>
      <c r="C496" t="s">
        <v>4037</v>
      </c>
    </row>
    <row r="497" spans="1:3" x14ac:dyDescent="0.2">
      <c r="A497" t="str">
        <f t="shared" si="7"/>
        <v>return_code_2367</v>
      </c>
      <c r="B497" t="s">
        <v>4038</v>
      </c>
      <c r="C497" t="s">
        <v>4039</v>
      </c>
    </row>
    <row r="498" spans="1:3" x14ac:dyDescent="0.2">
      <c r="A498" t="str">
        <f t="shared" si="7"/>
        <v>return_code_2368</v>
      </c>
      <c r="B498" t="s">
        <v>4040</v>
      </c>
      <c r="C498" t="s">
        <v>4041</v>
      </c>
    </row>
    <row r="499" spans="1:3" x14ac:dyDescent="0.2">
      <c r="A499" t="str">
        <f t="shared" si="7"/>
        <v>return_code_2369</v>
      </c>
      <c r="B499" t="s">
        <v>4042</v>
      </c>
      <c r="C499" t="s">
        <v>4043</v>
      </c>
    </row>
    <row r="500" spans="1:3" x14ac:dyDescent="0.2">
      <c r="A500" t="str">
        <f t="shared" si="7"/>
        <v>return_code_2370</v>
      </c>
      <c r="B500" t="s">
        <v>4044</v>
      </c>
      <c r="C500" t="s">
        <v>4045</v>
      </c>
    </row>
    <row r="501" spans="1:3" x14ac:dyDescent="0.2">
      <c r="A501" t="str">
        <f t="shared" si="7"/>
        <v>return_code_2371</v>
      </c>
      <c r="B501" t="s">
        <v>4046</v>
      </c>
      <c r="C501" t="s">
        <v>4047</v>
      </c>
    </row>
    <row r="502" spans="1:3" x14ac:dyDescent="0.2">
      <c r="A502" t="str">
        <f t="shared" si="7"/>
        <v>return_code_2372</v>
      </c>
      <c r="B502" t="s">
        <v>4048</v>
      </c>
      <c r="C502" t="s">
        <v>4049</v>
      </c>
    </row>
    <row r="503" spans="1:3" x14ac:dyDescent="0.2">
      <c r="A503" t="str">
        <f t="shared" si="7"/>
        <v>return_code_2373</v>
      </c>
      <c r="B503" t="s">
        <v>4050</v>
      </c>
      <c r="C503" t="s">
        <v>4051</v>
      </c>
    </row>
    <row r="504" spans="1:3" x14ac:dyDescent="0.2">
      <c r="A504" t="str">
        <f t="shared" si="7"/>
        <v>return_code_2374</v>
      </c>
      <c r="B504" t="s">
        <v>4052</v>
      </c>
      <c r="C504" t="s">
        <v>4053</v>
      </c>
    </row>
    <row r="505" spans="1:3" x14ac:dyDescent="0.2">
      <c r="A505" t="str">
        <f t="shared" si="7"/>
        <v>return_code_2375</v>
      </c>
      <c r="B505" t="s">
        <v>4054</v>
      </c>
      <c r="C505" t="s">
        <v>4055</v>
      </c>
    </row>
    <row r="506" spans="1:3" x14ac:dyDescent="0.2">
      <c r="A506" t="str">
        <f t="shared" si="7"/>
        <v>return_code_2376</v>
      </c>
      <c r="B506" t="s">
        <v>4056</v>
      </c>
      <c r="C506" t="s">
        <v>4057</v>
      </c>
    </row>
    <row r="507" spans="1:3" x14ac:dyDescent="0.2">
      <c r="A507" t="str">
        <f t="shared" si="7"/>
        <v>return_code_2377</v>
      </c>
      <c r="B507" t="s">
        <v>4058</v>
      </c>
      <c r="C507" t="s">
        <v>4059</v>
      </c>
    </row>
    <row r="508" spans="1:3" x14ac:dyDescent="0.2">
      <c r="A508" t="str">
        <f t="shared" si="7"/>
        <v>return_code_2378</v>
      </c>
      <c r="B508" t="s">
        <v>4060</v>
      </c>
      <c r="C508" t="s">
        <v>3524</v>
      </c>
    </row>
    <row r="509" spans="1:3" x14ac:dyDescent="0.2">
      <c r="A509" t="str">
        <f t="shared" si="7"/>
        <v>return_code_2379</v>
      </c>
      <c r="B509" t="s">
        <v>4061</v>
      </c>
      <c r="C509" t="s">
        <v>4062</v>
      </c>
    </row>
    <row r="510" spans="1:3" x14ac:dyDescent="0.2">
      <c r="A510" t="str">
        <f t="shared" si="7"/>
        <v>return_code_2380</v>
      </c>
      <c r="B510" t="s">
        <v>4063</v>
      </c>
      <c r="C510" t="s">
        <v>4064</v>
      </c>
    </row>
    <row r="511" spans="1:3" x14ac:dyDescent="0.2">
      <c r="A511" t="str">
        <f t="shared" si="7"/>
        <v>return_code_2381</v>
      </c>
      <c r="B511" t="s">
        <v>4065</v>
      </c>
      <c r="C511" t="s">
        <v>4066</v>
      </c>
    </row>
    <row r="512" spans="1:3" x14ac:dyDescent="0.2">
      <c r="A512" t="str">
        <f t="shared" si="7"/>
        <v>return_code_2382</v>
      </c>
      <c r="B512" t="s">
        <v>4067</v>
      </c>
      <c r="C512" t="s">
        <v>4068</v>
      </c>
    </row>
    <row r="513" spans="1:3" x14ac:dyDescent="0.2">
      <c r="A513" t="str">
        <f t="shared" ref="A513:A576" si="8">CONCATENATE("return_code_",B513)</f>
        <v>return_code_2383</v>
      </c>
      <c r="B513" t="s">
        <v>4069</v>
      </c>
      <c r="C513" t="s">
        <v>4070</v>
      </c>
    </row>
    <row r="514" spans="1:3" x14ac:dyDescent="0.2">
      <c r="A514" t="str">
        <f t="shared" si="8"/>
        <v>return_code_2384</v>
      </c>
      <c r="B514" t="s">
        <v>4071</v>
      </c>
      <c r="C514" t="s">
        <v>4072</v>
      </c>
    </row>
    <row r="515" spans="1:3" x14ac:dyDescent="0.2">
      <c r="A515" t="str">
        <f t="shared" si="8"/>
        <v>return_code_2385</v>
      </c>
      <c r="B515" t="s">
        <v>4073</v>
      </c>
      <c r="C515" t="s">
        <v>4074</v>
      </c>
    </row>
    <row r="516" spans="1:3" x14ac:dyDescent="0.2">
      <c r="A516" t="str">
        <f t="shared" si="8"/>
        <v>return_code_2386</v>
      </c>
      <c r="B516" t="s">
        <v>4075</v>
      </c>
      <c r="C516" t="s">
        <v>4076</v>
      </c>
    </row>
    <row r="517" spans="1:3" x14ac:dyDescent="0.2">
      <c r="A517" t="str">
        <f t="shared" si="8"/>
        <v>return_code_2387</v>
      </c>
      <c r="B517" t="s">
        <v>4077</v>
      </c>
      <c r="C517" t="s">
        <v>4078</v>
      </c>
    </row>
    <row r="518" spans="1:3" x14ac:dyDescent="0.2">
      <c r="A518" t="str">
        <f t="shared" si="8"/>
        <v>return_code_2388</v>
      </c>
      <c r="B518" t="s">
        <v>4079</v>
      </c>
      <c r="C518" t="s">
        <v>4080</v>
      </c>
    </row>
    <row r="519" spans="1:3" x14ac:dyDescent="0.2">
      <c r="A519" t="str">
        <f t="shared" si="8"/>
        <v>return_code_2389</v>
      </c>
      <c r="B519" t="s">
        <v>4081</v>
      </c>
      <c r="C519" t="s">
        <v>4082</v>
      </c>
    </row>
    <row r="520" spans="1:3" x14ac:dyDescent="0.2">
      <c r="A520" t="str">
        <f t="shared" si="8"/>
        <v>return_code_2390</v>
      </c>
      <c r="B520" t="s">
        <v>4083</v>
      </c>
      <c r="C520" t="s">
        <v>4084</v>
      </c>
    </row>
    <row r="521" spans="1:3" x14ac:dyDescent="0.2">
      <c r="A521" t="str">
        <f t="shared" si="8"/>
        <v>return_code_2391</v>
      </c>
      <c r="B521" t="s">
        <v>2604</v>
      </c>
      <c r="C521" t="s">
        <v>4085</v>
      </c>
    </row>
    <row r="522" spans="1:3" x14ac:dyDescent="0.2">
      <c r="A522" t="str">
        <f t="shared" si="8"/>
        <v>return_code_2392</v>
      </c>
      <c r="B522" t="s">
        <v>2606</v>
      </c>
      <c r="C522" t="s">
        <v>4086</v>
      </c>
    </row>
    <row r="523" spans="1:3" x14ac:dyDescent="0.2">
      <c r="A523" t="str">
        <f t="shared" si="8"/>
        <v>return_code_2393</v>
      </c>
      <c r="B523" t="s">
        <v>2608</v>
      </c>
      <c r="C523" t="s">
        <v>4087</v>
      </c>
    </row>
    <row r="524" spans="1:3" x14ac:dyDescent="0.2">
      <c r="A524" t="str">
        <f t="shared" si="8"/>
        <v>return_code_2394</v>
      </c>
      <c r="B524" t="s">
        <v>2610</v>
      </c>
      <c r="C524" t="s">
        <v>4088</v>
      </c>
    </row>
    <row r="525" spans="1:3" x14ac:dyDescent="0.2">
      <c r="A525" t="str">
        <f t="shared" si="8"/>
        <v>return_code_2395</v>
      </c>
      <c r="B525" t="s">
        <v>2612</v>
      </c>
      <c r="C525" t="s">
        <v>4089</v>
      </c>
    </row>
    <row r="526" spans="1:3" x14ac:dyDescent="0.2">
      <c r="A526" t="str">
        <f t="shared" si="8"/>
        <v>return_code_2396</v>
      </c>
      <c r="B526" t="s">
        <v>2614</v>
      </c>
      <c r="C526" t="s">
        <v>4090</v>
      </c>
    </row>
    <row r="527" spans="1:3" x14ac:dyDescent="0.2">
      <c r="A527" t="str">
        <f t="shared" si="8"/>
        <v>return_code_2397</v>
      </c>
      <c r="B527" t="s">
        <v>4091</v>
      </c>
      <c r="C527" t="s">
        <v>4092</v>
      </c>
    </row>
    <row r="528" spans="1:3" x14ac:dyDescent="0.2">
      <c r="A528" t="str">
        <f t="shared" si="8"/>
        <v>return_code_2398</v>
      </c>
      <c r="B528" t="s">
        <v>4093</v>
      </c>
      <c r="C528" t="s">
        <v>4094</v>
      </c>
    </row>
    <row r="529" spans="1:3" x14ac:dyDescent="0.2">
      <c r="A529" t="str">
        <f t="shared" si="8"/>
        <v>return_code_2399</v>
      </c>
      <c r="B529" t="s">
        <v>2616</v>
      </c>
      <c r="C529" t="s">
        <v>4095</v>
      </c>
    </row>
    <row r="530" spans="1:3" x14ac:dyDescent="0.2">
      <c r="A530" t="str">
        <f t="shared" si="8"/>
        <v>return_code_2400</v>
      </c>
      <c r="B530" t="s">
        <v>4096</v>
      </c>
      <c r="C530" t="s">
        <v>4097</v>
      </c>
    </row>
    <row r="531" spans="1:3" x14ac:dyDescent="0.2">
      <c r="A531" t="str">
        <f t="shared" si="8"/>
        <v>return_code_2401</v>
      </c>
      <c r="B531" t="s">
        <v>4098</v>
      </c>
      <c r="C531" t="s">
        <v>3297</v>
      </c>
    </row>
    <row r="532" spans="1:3" x14ac:dyDescent="0.2">
      <c r="A532" t="str">
        <f t="shared" si="8"/>
        <v>return_code_2402</v>
      </c>
      <c r="B532" t="s">
        <v>4099</v>
      </c>
      <c r="C532" t="s">
        <v>3302</v>
      </c>
    </row>
    <row r="533" spans="1:3" x14ac:dyDescent="0.2">
      <c r="A533" t="str">
        <f t="shared" si="8"/>
        <v>return_code_2403</v>
      </c>
      <c r="B533" t="s">
        <v>4100</v>
      </c>
      <c r="C533" t="s">
        <v>3304</v>
      </c>
    </row>
    <row r="534" spans="1:3" x14ac:dyDescent="0.2">
      <c r="A534" t="str">
        <f t="shared" si="8"/>
        <v>return_code_2404</v>
      </c>
      <c r="B534" t="s">
        <v>4101</v>
      </c>
      <c r="C534" t="s">
        <v>4102</v>
      </c>
    </row>
    <row r="535" spans="1:3" x14ac:dyDescent="0.2">
      <c r="A535" t="str">
        <f t="shared" si="8"/>
        <v>return_code_2405</v>
      </c>
      <c r="B535" t="s">
        <v>4103</v>
      </c>
      <c r="C535" t="s">
        <v>4104</v>
      </c>
    </row>
    <row r="536" spans="1:3" x14ac:dyDescent="0.2">
      <c r="A536" t="str">
        <f t="shared" si="8"/>
        <v>return_code_2406</v>
      </c>
      <c r="B536" t="s">
        <v>4105</v>
      </c>
      <c r="C536" t="s">
        <v>4106</v>
      </c>
    </row>
    <row r="537" spans="1:3" x14ac:dyDescent="0.2">
      <c r="A537" t="str">
        <f t="shared" si="8"/>
        <v>return_code_2407</v>
      </c>
      <c r="B537" t="s">
        <v>4107</v>
      </c>
      <c r="C537" t="s">
        <v>4108</v>
      </c>
    </row>
    <row r="538" spans="1:3" x14ac:dyDescent="0.2">
      <c r="A538" t="str">
        <f t="shared" si="8"/>
        <v>return_code_2408</v>
      </c>
      <c r="B538" t="s">
        <v>4109</v>
      </c>
      <c r="C538" t="s">
        <v>4110</v>
      </c>
    </row>
    <row r="539" spans="1:3" x14ac:dyDescent="0.2">
      <c r="A539" t="str">
        <f t="shared" si="8"/>
        <v>return_code_2409</v>
      </c>
      <c r="B539" t="s">
        <v>4111</v>
      </c>
      <c r="C539" t="s">
        <v>4112</v>
      </c>
    </row>
    <row r="540" spans="1:3" x14ac:dyDescent="0.2">
      <c r="A540" t="str">
        <f t="shared" si="8"/>
        <v>return_code_2410</v>
      </c>
      <c r="B540" t="s">
        <v>2618</v>
      </c>
      <c r="C540" t="s">
        <v>4113</v>
      </c>
    </row>
    <row r="541" spans="1:3" x14ac:dyDescent="0.2">
      <c r="A541" t="str">
        <f t="shared" si="8"/>
        <v>return_code_2411</v>
      </c>
      <c r="B541" t="s">
        <v>4114</v>
      </c>
      <c r="C541" t="s">
        <v>4115</v>
      </c>
    </row>
    <row r="542" spans="1:3" x14ac:dyDescent="0.2">
      <c r="A542" t="str">
        <f t="shared" si="8"/>
        <v>return_code_2412</v>
      </c>
      <c r="B542" t="s">
        <v>4116</v>
      </c>
      <c r="C542" t="s">
        <v>4117</v>
      </c>
    </row>
    <row r="543" spans="1:3" x14ac:dyDescent="0.2">
      <c r="A543" t="str">
        <f t="shared" si="8"/>
        <v>return_code_2413</v>
      </c>
      <c r="B543" t="s">
        <v>4118</v>
      </c>
      <c r="C543" t="s">
        <v>4119</v>
      </c>
    </row>
    <row r="544" spans="1:3" x14ac:dyDescent="0.2">
      <c r="A544" t="str">
        <f t="shared" si="8"/>
        <v>return_code_2414</v>
      </c>
      <c r="B544" t="s">
        <v>4120</v>
      </c>
      <c r="C544" t="s">
        <v>4121</v>
      </c>
    </row>
    <row r="545" spans="1:3" x14ac:dyDescent="0.2">
      <c r="A545" t="str">
        <f t="shared" si="8"/>
        <v>return_code_2415</v>
      </c>
      <c r="B545" t="s">
        <v>4122</v>
      </c>
      <c r="C545" t="s">
        <v>4123</v>
      </c>
    </row>
    <row r="546" spans="1:3" x14ac:dyDescent="0.2">
      <c r="A546" t="str">
        <f t="shared" si="8"/>
        <v>return_code_2416</v>
      </c>
      <c r="B546" t="s">
        <v>4124</v>
      </c>
      <c r="C546" t="s">
        <v>4125</v>
      </c>
    </row>
    <row r="547" spans="1:3" x14ac:dyDescent="0.2">
      <c r="A547" t="str">
        <f t="shared" si="8"/>
        <v>return_code_2417</v>
      </c>
      <c r="B547" t="s">
        <v>4126</v>
      </c>
      <c r="C547" t="s">
        <v>4127</v>
      </c>
    </row>
    <row r="548" spans="1:3" x14ac:dyDescent="0.2">
      <c r="A548" t="str">
        <f t="shared" si="8"/>
        <v>return_code_2418</v>
      </c>
      <c r="B548" t="s">
        <v>4128</v>
      </c>
      <c r="C548" t="s">
        <v>4129</v>
      </c>
    </row>
    <row r="549" spans="1:3" x14ac:dyDescent="0.2">
      <c r="A549" t="str">
        <f t="shared" si="8"/>
        <v>return_code_2419</v>
      </c>
      <c r="B549" t="s">
        <v>4130</v>
      </c>
      <c r="C549" t="s">
        <v>4131</v>
      </c>
    </row>
    <row r="550" spans="1:3" x14ac:dyDescent="0.2">
      <c r="A550" t="str">
        <f t="shared" si="8"/>
        <v>return_code_2420</v>
      </c>
      <c r="B550" t="s">
        <v>2620</v>
      </c>
      <c r="C550" t="s">
        <v>4132</v>
      </c>
    </row>
    <row r="551" spans="1:3" x14ac:dyDescent="0.2">
      <c r="A551" t="str">
        <f t="shared" si="8"/>
        <v>return_code_2421</v>
      </c>
      <c r="B551" t="s">
        <v>4133</v>
      </c>
      <c r="C551" t="s">
        <v>4134</v>
      </c>
    </row>
    <row r="552" spans="1:3" x14ac:dyDescent="0.2">
      <c r="A552" t="str">
        <f t="shared" si="8"/>
        <v>return_code_2422</v>
      </c>
      <c r="B552" t="s">
        <v>4135</v>
      </c>
      <c r="C552" t="s">
        <v>4136</v>
      </c>
    </row>
    <row r="553" spans="1:3" x14ac:dyDescent="0.2">
      <c r="A553" t="str">
        <f t="shared" si="8"/>
        <v>return_code_2423</v>
      </c>
      <c r="B553" t="s">
        <v>4137</v>
      </c>
      <c r="C553" t="s">
        <v>4138</v>
      </c>
    </row>
    <row r="554" spans="1:3" x14ac:dyDescent="0.2">
      <c r="A554" t="str">
        <f t="shared" si="8"/>
        <v>return_code_2424</v>
      </c>
      <c r="B554" t="s">
        <v>4139</v>
      </c>
      <c r="C554" t="s">
        <v>4140</v>
      </c>
    </row>
    <row r="555" spans="1:3" x14ac:dyDescent="0.2">
      <c r="A555" t="str">
        <f t="shared" si="8"/>
        <v>return_code_2425</v>
      </c>
      <c r="B555" t="s">
        <v>4141</v>
      </c>
      <c r="C555" t="s">
        <v>4142</v>
      </c>
    </row>
    <row r="556" spans="1:3" x14ac:dyDescent="0.2">
      <c r="A556" t="str">
        <f t="shared" si="8"/>
        <v>return_code_2426</v>
      </c>
      <c r="B556" t="s">
        <v>4143</v>
      </c>
      <c r="C556" t="s">
        <v>4144</v>
      </c>
    </row>
    <row r="557" spans="1:3" x14ac:dyDescent="0.2">
      <c r="A557" t="str">
        <f t="shared" si="8"/>
        <v>return_code_2427</v>
      </c>
      <c r="B557" t="s">
        <v>4145</v>
      </c>
      <c r="C557" t="s">
        <v>4146</v>
      </c>
    </row>
    <row r="558" spans="1:3" x14ac:dyDescent="0.2">
      <c r="A558" t="str">
        <f t="shared" si="8"/>
        <v>return_code_2428</v>
      </c>
      <c r="B558" t="s">
        <v>4147</v>
      </c>
      <c r="C558" t="s">
        <v>4148</v>
      </c>
    </row>
    <row r="559" spans="1:3" x14ac:dyDescent="0.2">
      <c r="A559" t="str">
        <f t="shared" si="8"/>
        <v>return_code_2429</v>
      </c>
      <c r="B559" t="s">
        <v>4149</v>
      </c>
      <c r="C559" t="s">
        <v>4150</v>
      </c>
    </row>
    <row r="560" spans="1:3" x14ac:dyDescent="0.2">
      <c r="A560" t="str">
        <f t="shared" si="8"/>
        <v>return_code_2430</v>
      </c>
      <c r="B560" t="s">
        <v>4151</v>
      </c>
      <c r="C560" t="s">
        <v>4152</v>
      </c>
    </row>
    <row r="561" spans="1:3" x14ac:dyDescent="0.2">
      <c r="A561" t="str">
        <f t="shared" si="8"/>
        <v>return_code_2431</v>
      </c>
      <c r="B561" t="s">
        <v>2622</v>
      </c>
      <c r="C561" t="s">
        <v>4153</v>
      </c>
    </row>
    <row r="562" spans="1:3" x14ac:dyDescent="0.2">
      <c r="A562" t="str">
        <f t="shared" si="8"/>
        <v>return_code_2432</v>
      </c>
      <c r="B562" t="s">
        <v>2624</v>
      </c>
      <c r="C562" t="s">
        <v>4154</v>
      </c>
    </row>
    <row r="563" spans="1:3" x14ac:dyDescent="0.2">
      <c r="A563" t="str">
        <f t="shared" si="8"/>
        <v>return_code_2433</v>
      </c>
      <c r="B563" t="s">
        <v>4155</v>
      </c>
      <c r="C563" t="s">
        <v>4156</v>
      </c>
    </row>
    <row r="564" spans="1:3" x14ac:dyDescent="0.2">
      <c r="A564" t="str">
        <f t="shared" si="8"/>
        <v>return_code_2434</v>
      </c>
      <c r="B564" t="s">
        <v>4157</v>
      </c>
      <c r="C564" t="s">
        <v>4158</v>
      </c>
    </row>
    <row r="565" spans="1:3" x14ac:dyDescent="0.2">
      <c r="A565" t="str">
        <f t="shared" si="8"/>
        <v>return_code_2435</v>
      </c>
      <c r="B565" t="s">
        <v>4159</v>
      </c>
      <c r="C565" t="s">
        <v>4160</v>
      </c>
    </row>
    <row r="566" spans="1:3" x14ac:dyDescent="0.2">
      <c r="A566" t="str">
        <f t="shared" si="8"/>
        <v>return_code_2436</v>
      </c>
      <c r="B566" t="s">
        <v>4161</v>
      </c>
      <c r="C566" t="s">
        <v>4162</v>
      </c>
    </row>
    <row r="567" spans="1:3" x14ac:dyDescent="0.2">
      <c r="A567" t="str">
        <f t="shared" si="8"/>
        <v>return_code_2437</v>
      </c>
      <c r="B567" t="s">
        <v>4163</v>
      </c>
      <c r="C567" t="s">
        <v>4164</v>
      </c>
    </row>
    <row r="568" spans="1:3" x14ac:dyDescent="0.2">
      <c r="A568" t="str">
        <f t="shared" si="8"/>
        <v>return_code_2438</v>
      </c>
      <c r="B568" t="s">
        <v>4165</v>
      </c>
      <c r="C568" t="s">
        <v>4166</v>
      </c>
    </row>
    <row r="569" spans="1:3" x14ac:dyDescent="0.2">
      <c r="A569" t="str">
        <f t="shared" si="8"/>
        <v>return_code_2439</v>
      </c>
      <c r="B569" t="s">
        <v>4167</v>
      </c>
      <c r="C569" t="s">
        <v>4168</v>
      </c>
    </row>
    <row r="570" spans="1:3" x14ac:dyDescent="0.2">
      <c r="A570" t="str">
        <f t="shared" si="8"/>
        <v>return_code_2500</v>
      </c>
      <c r="B570" t="s">
        <v>4169</v>
      </c>
      <c r="C570" t="s">
        <v>4170</v>
      </c>
    </row>
    <row r="571" spans="1:3" x14ac:dyDescent="0.2">
      <c r="A571" t="str">
        <f t="shared" si="8"/>
        <v>return_code_2501</v>
      </c>
      <c r="B571" t="s">
        <v>4171</v>
      </c>
      <c r="C571" t="s">
        <v>4172</v>
      </c>
    </row>
    <row r="572" spans="1:3" x14ac:dyDescent="0.2">
      <c r="A572" t="str">
        <f t="shared" si="8"/>
        <v>return_code_2502</v>
      </c>
      <c r="B572" t="s">
        <v>4173</v>
      </c>
      <c r="C572" t="s">
        <v>4174</v>
      </c>
    </row>
    <row r="573" spans="1:3" x14ac:dyDescent="0.2">
      <c r="A573" t="str">
        <f t="shared" si="8"/>
        <v>return_code_2503</v>
      </c>
      <c r="B573" t="s">
        <v>4175</v>
      </c>
      <c r="C573" t="s">
        <v>4176</v>
      </c>
    </row>
    <row r="574" spans="1:3" x14ac:dyDescent="0.2">
      <c r="A574" t="str">
        <f t="shared" si="8"/>
        <v>return_code_2504</v>
      </c>
      <c r="B574" t="s">
        <v>4177</v>
      </c>
      <c r="C574" t="s">
        <v>4178</v>
      </c>
    </row>
    <row r="575" spans="1:3" x14ac:dyDescent="0.2">
      <c r="A575" t="str">
        <f t="shared" si="8"/>
        <v>return_code_2505</v>
      </c>
      <c r="B575" t="s">
        <v>4179</v>
      </c>
      <c r="C575" t="s">
        <v>4180</v>
      </c>
    </row>
    <row r="576" spans="1:3" x14ac:dyDescent="0.2">
      <c r="A576" t="str">
        <f t="shared" si="8"/>
        <v>return_code_2506</v>
      </c>
      <c r="B576" t="s">
        <v>4181</v>
      </c>
      <c r="C576" t="s">
        <v>4182</v>
      </c>
    </row>
    <row r="577" spans="1:3" x14ac:dyDescent="0.2">
      <c r="A577" t="str">
        <f t="shared" ref="A577:A640" si="9">CONCATENATE("return_code_",B577)</f>
        <v>return_code_2507</v>
      </c>
      <c r="B577" t="s">
        <v>4183</v>
      </c>
      <c r="C577" t="s">
        <v>4184</v>
      </c>
    </row>
    <row r="578" spans="1:3" x14ac:dyDescent="0.2">
      <c r="A578" t="str">
        <f t="shared" si="9"/>
        <v>return_code_2508</v>
      </c>
      <c r="B578" t="s">
        <v>4185</v>
      </c>
      <c r="C578" t="s">
        <v>4186</v>
      </c>
    </row>
    <row r="579" spans="1:3" x14ac:dyDescent="0.2">
      <c r="A579" t="str">
        <f t="shared" si="9"/>
        <v>return_code_2509</v>
      </c>
      <c r="B579" t="s">
        <v>4187</v>
      </c>
      <c r="C579" t="s">
        <v>4188</v>
      </c>
    </row>
    <row r="580" spans="1:3" x14ac:dyDescent="0.2">
      <c r="A580" t="str">
        <f t="shared" si="9"/>
        <v>return_code_2510</v>
      </c>
      <c r="B580" t="s">
        <v>4189</v>
      </c>
      <c r="C580" t="s">
        <v>4190</v>
      </c>
    </row>
    <row r="581" spans="1:3" x14ac:dyDescent="0.2">
      <c r="A581" t="str">
        <f t="shared" si="9"/>
        <v>return_code_2511</v>
      </c>
      <c r="B581" t="s">
        <v>2626</v>
      </c>
      <c r="C581" t="s">
        <v>4191</v>
      </c>
    </row>
    <row r="582" spans="1:3" x14ac:dyDescent="0.2">
      <c r="A582" t="str">
        <f t="shared" si="9"/>
        <v>return_code_2512</v>
      </c>
      <c r="B582" t="s">
        <v>2628</v>
      </c>
      <c r="C582" t="s">
        <v>4192</v>
      </c>
    </row>
    <row r="583" spans="1:3" x14ac:dyDescent="0.2">
      <c r="A583" t="str">
        <f t="shared" si="9"/>
        <v>return_code_2513</v>
      </c>
      <c r="B583" t="s">
        <v>2630</v>
      </c>
      <c r="C583" t="s">
        <v>4193</v>
      </c>
    </row>
    <row r="584" spans="1:3" x14ac:dyDescent="0.2">
      <c r="A584" t="str">
        <f t="shared" si="9"/>
        <v>return_code_2514</v>
      </c>
      <c r="B584" t="s">
        <v>4194</v>
      </c>
      <c r="C584" t="s">
        <v>4195</v>
      </c>
    </row>
    <row r="585" spans="1:3" x14ac:dyDescent="0.2">
      <c r="A585" t="str">
        <f t="shared" si="9"/>
        <v>return_code_2515</v>
      </c>
      <c r="B585" t="s">
        <v>4196</v>
      </c>
      <c r="C585" t="s">
        <v>4197</v>
      </c>
    </row>
    <row r="586" spans="1:3" x14ac:dyDescent="0.2">
      <c r="A586" t="str">
        <f t="shared" si="9"/>
        <v>return_code_2516</v>
      </c>
      <c r="B586" t="s">
        <v>4198</v>
      </c>
      <c r="C586" t="s">
        <v>4199</v>
      </c>
    </row>
    <row r="587" spans="1:3" x14ac:dyDescent="0.2">
      <c r="A587" t="str">
        <f t="shared" si="9"/>
        <v>return_code_2517</v>
      </c>
      <c r="B587" t="s">
        <v>4200</v>
      </c>
      <c r="C587" t="s">
        <v>4201</v>
      </c>
    </row>
    <row r="588" spans="1:3" x14ac:dyDescent="0.2">
      <c r="A588" t="str">
        <f t="shared" si="9"/>
        <v>return_code_2518</v>
      </c>
      <c r="B588" t="s">
        <v>4202</v>
      </c>
      <c r="C588" t="s">
        <v>4203</v>
      </c>
    </row>
    <row r="589" spans="1:3" x14ac:dyDescent="0.2">
      <c r="A589" t="str">
        <f t="shared" si="9"/>
        <v>return_code_2519</v>
      </c>
      <c r="B589" t="s">
        <v>4204</v>
      </c>
      <c r="C589" t="s">
        <v>4205</v>
      </c>
    </row>
    <row r="590" spans="1:3" x14ac:dyDescent="0.2">
      <c r="A590" t="str">
        <f t="shared" si="9"/>
        <v>return_code_2520</v>
      </c>
      <c r="B590" t="s">
        <v>2632</v>
      </c>
      <c r="C590" t="s">
        <v>4206</v>
      </c>
    </row>
    <row r="591" spans="1:3" x14ac:dyDescent="0.2">
      <c r="A591" t="str">
        <f t="shared" si="9"/>
        <v>return_code_2521</v>
      </c>
      <c r="B591" t="s">
        <v>4207</v>
      </c>
      <c r="C591" t="s">
        <v>4208</v>
      </c>
    </row>
    <row r="592" spans="1:3" x14ac:dyDescent="0.2">
      <c r="A592" t="str">
        <f t="shared" si="9"/>
        <v>return_code_2522</v>
      </c>
      <c r="B592" t="s">
        <v>4209</v>
      </c>
      <c r="C592" t="s">
        <v>4210</v>
      </c>
    </row>
    <row r="593" spans="1:3" x14ac:dyDescent="0.2">
      <c r="A593" t="str">
        <f t="shared" si="9"/>
        <v>return_code_2523</v>
      </c>
      <c r="B593" t="s">
        <v>4211</v>
      </c>
      <c r="C593" t="s">
        <v>4212</v>
      </c>
    </row>
    <row r="594" spans="1:3" x14ac:dyDescent="0.2">
      <c r="A594" t="str">
        <f t="shared" si="9"/>
        <v>return_code_2524</v>
      </c>
      <c r="B594" t="s">
        <v>4213</v>
      </c>
      <c r="C594" t="s">
        <v>4214</v>
      </c>
    </row>
    <row r="595" spans="1:3" x14ac:dyDescent="0.2">
      <c r="A595" t="str">
        <f t="shared" si="9"/>
        <v>return_code_2525</v>
      </c>
      <c r="B595" t="s">
        <v>4215</v>
      </c>
      <c r="C595" t="s">
        <v>4216</v>
      </c>
    </row>
    <row r="596" spans="1:3" x14ac:dyDescent="0.2">
      <c r="A596" t="str">
        <f t="shared" si="9"/>
        <v>return_code_2526</v>
      </c>
      <c r="B596" t="s">
        <v>4217</v>
      </c>
      <c r="C596" t="s">
        <v>4218</v>
      </c>
    </row>
    <row r="597" spans="1:3" x14ac:dyDescent="0.2">
      <c r="A597" t="str">
        <f t="shared" si="9"/>
        <v>return_code_2527</v>
      </c>
      <c r="B597" t="s">
        <v>4219</v>
      </c>
      <c r="C597" t="s">
        <v>4220</v>
      </c>
    </row>
    <row r="598" spans="1:3" x14ac:dyDescent="0.2">
      <c r="A598" t="str">
        <f t="shared" si="9"/>
        <v>return_code_2528</v>
      </c>
      <c r="B598" t="s">
        <v>4221</v>
      </c>
      <c r="C598" t="s">
        <v>4222</v>
      </c>
    </row>
    <row r="599" spans="1:3" x14ac:dyDescent="0.2">
      <c r="A599" t="str">
        <f t="shared" si="9"/>
        <v>return_code_2529</v>
      </c>
      <c r="B599" t="s">
        <v>4223</v>
      </c>
      <c r="C599" t="s">
        <v>4224</v>
      </c>
    </row>
    <row r="600" spans="1:3" x14ac:dyDescent="0.2">
      <c r="A600" t="str">
        <f t="shared" si="9"/>
        <v>return_code_2530</v>
      </c>
      <c r="B600" t="s">
        <v>4225</v>
      </c>
      <c r="C600" t="s">
        <v>4226</v>
      </c>
    </row>
    <row r="601" spans="1:3" x14ac:dyDescent="0.2">
      <c r="A601" t="str">
        <f t="shared" si="9"/>
        <v>return_code_2531</v>
      </c>
      <c r="B601" t="s">
        <v>4227</v>
      </c>
      <c r="C601" t="s">
        <v>4228</v>
      </c>
    </row>
    <row r="602" spans="1:3" x14ac:dyDescent="0.2">
      <c r="A602" t="str">
        <f t="shared" si="9"/>
        <v>return_code_2532</v>
      </c>
      <c r="B602" t="s">
        <v>4229</v>
      </c>
      <c r="C602" t="s">
        <v>4230</v>
      </c>
    </row>
    <row r="603" spans="1:3" x14ac:dyDescent="0.2">
      <c r="A603" t="str">
        <f t="shared" si="9"/>
        <v>return_code_2533</v>
      </c>
      <c r="B603" t="s">
        <v>4231</v>
      </c>
      <c r="C603" t="s">
        <v>4232</v>
      </c>
    </row>
    <row r="604" spans="1:3" x14ac:dyDescent="0.2">
      <c r="A604" t="str">
        <f t="shared" si="9"/>
        <v>return_code_2534</v>
      </c>
      <c r="B604" t="s">
        <v>4233</v>
      </c>
      <c r="C604" t="s">
        <v>4234</v>
      </c>
    </row>
    <row r="605" spans="1:3" x14ac:dyDescent="0.2">
      <c r="A605" t="str">
        <f t="shared" si="9"/>
        <v>return_code_2535</v>
      </c>
      <c r="B605" t="s">
        <v>4235</v>
      </c>
      <c r="C605" t="s">
        <v>4236</v>
      </c>
    </row>
    <row r="606" spans="1:3" x14ac:dyDescent="0.2">
      <c r="A606" t="str">
        <f t="shared" si="9"/>
        <v>return_code_2536</v>
      </c>
      <c r="B606" t="s">
        <v>4237</v>
      </c>
      <c r="C606" t="s">
        <v>4238</v>
      </c>
    </row>
    <row r="607" spans="1:3" x14ac:dyDescent="0.2">
      <c r="A607" t="str">
        <f t="shared" si="9"/>
        <v>return_code_2537</v>
      </c>
      <c r="B607" t="s">
        <v>4239</v>
      </c>
      <c r="C607" t="s">
        <v>4240</v>
      </c>
    </row>
    <row r="608" spans="1:3" x14ac:dyDescent="0.2">
      <c r="A608" t="str">
        <f t="shared" si="9"/>
        <v>return_code_2538</v>
      </c>
      <c r="B608" t="s">
        <v>4241</v>
      </c>
      <c r="C608" t="s">
        <v>4242</v>
      </c>
    </row>
    <row r="609" spans="1:3" x14ac:dyDescent="0.2">
      <c r="A609" t="str">
        <f t="shared" si="9"/>
        <v>return_code_2539</v>
      </c>
      <c r="B609" t="s">
        <v>4243</v>
      </c>
      <c r="C609" t="s">
        <v>4244</v>
      </c>
    </row>
    <row r="610" spans="1:3" x14ac:dyDescent="0.2">
      <c r="A610" t="str">
        <f t="shared" si="9"/>
        <v>return_code_2540</v>
      </c>
      <c r="B610" t="s">
        <v>4245</v>
      </c>
      <c r="C610" t="s">
        <v>4246</v>
      </c>
    </row>
    <row r="611" spans="1:3" x14ac:dyDescent="0.2">
      <c r="A611" t="str">
        <f t="shared" si="9"/>
        <v>return_code_2541</v>
      </c>
      <c r="B611" t="s">
        <v>4247</v>
      </c>
      <c r="C611" t="s">
        <v>4248</v>
      </c>
    </row>
    <row r="612" spans="1:3" x14ac:dyDescent="0.2">
      <c r="A612" t="str">
        <f t="shared" si="9"/>
        <v>return_code_2542</v>
      </c>
      <c r="B612" t="s">
        <v>4249</v>
      </c>
      <c r="C612" t="s">
        <v>4250</v>
      </c>
    </row>
    <row r="613" spans="1:3" x14ac:dyDescent="0.2">
      <c r="A613" t="str">
        <f t="shared" si="9"/>
        <v>return_code_2543</v>
      </c>
      <c r="B613" t="s">
        <v>4251</v>
      </c>
      <c r="C613" t="s">
        <v>4252</v>
      </c>
    </row>
    <row r="614" spans="1:3" x14ac:dyDescent="0.2">
      <c r="A614" t="str">
        <f t="shared" si="9"/>
        <v>return_code_2544</v>
      </c>
      <c r="B614" t="s">
        <v>4253</v>
      </c>
      <c r="C614" t="s">
        <v>4254</v>
      </c>
    </row>
    <row r="615" spans="1:3" x14ac:dyDescent="0.2">
      <c r="A615" t="str">
        <f t="shared" si="9"/>
        <v>return_code_2545</v>
      </c>
      <c r="B615" t="s">
        <v>4255</v>
      </c>
      <c r="C615" t="s">
        <v>4256</v>
      </c>
    </row>
    <row r="616" spans="1:3" x14ac:dyDescent="0.2">
      <c r="A616" t="str">
        <f t="shared" si="9"/>
        <v>return_code_2546</v>
      </c>
      <c r="B616" t="s">
        <v>4257</v>
      </c>
      <c r="C616" t="s">
        <v>4258</v>
      </c>
    </row>
    <row r="617" spans="1:3" x14ac:dyDescent="0.2">
      <c r="A617" t="str">
        <f t="shared" si="9"/>
        <v>return_code_2547</v>
      </c>
      <c r="B617" t="s">
        <v>4259</v>
      </c>
      <c r="C617" t="s">
        <v>4260</v>
      </c>
    </row>
    <row r="618" spans="1:3" x14ac:dyDescent="0.2">
      <c r="A618" t="str">
        <f t="shared" si="9"/>
        <v>return_code_2548</v>
      </c>
      <c r="B618" t="s">
        <v>4261</v>
      </c>
      <c r="C618" t="s">
        <v>4262</v>
      </c>
    </row>
    <row r="619" spans="1:3" x14ac:dyDescent="0.2">
      <c r="A619" t="str">
        <f t="shared" si="9"/>
        <v>return_code_2549</v>
      </c>
      <c r="B619" t="s">
        <v>4263</v>
      </c>
      <c r="C619" t="s">
        <v>4264</v>
      </c>
    </row>
    <row r="620" spans="1:3" x14ac:dyDescent="0.2">
      <c r="A620" t="str">
        <f t="shared" si="9"/>
        <v>return_code_2550</v>
      </c>
      <c r="B620" t="s">
        <v>4265</v>
      </c>
      <c r="C620" t="s">
        <v>4266</v>
      </c>
    </row>
    <row r="621" spans="1:3" x14ac:dyDescent="0.2">
      <c r="A621" t="str">
        <f t="shared" si="9"/>
        <v>return_code_2551</v>
      </c>
      <c r="B621" t="s">
        <v>4267</v>
      </c>
      <c r="C621" t="s">
        <v>4268</v>
      </c>
    </row>
    <row r="622" spans="1:3" x14ac:dyDescent="0.2">
      <c r="A622" t="str">
        <f t="shared" si="9"/>
        <v>return_code_2552</v>
      </c>
      <c r="B622" t="s">
        <v>4269</v>
      </c>
      <c r="C622" t="s">
        <v>4270</v>
      </c>
    </row>
    <row r="623" spans="1:3" x14ac:dyDescent="0.2">
      <c r="A623" t="str">
        <f t="shared" si="9"/>
        <v>return_code_2553</v>
      </c>
      <c r="B623" t="s">
        <v>4271</v>
      </c>
      <c r="C623" t="s">
        <v>4272</v>
      </c>
    </row>
    <row r="624" spans="1:3" x14ac:dyDescent="0.2">
      <c r="A624" t="str">
        <f t="shared" si="9"/>
        <v>return_code_2554</v>
      </c>
      <c r="B624" t="s">
        <v>4273</v>
      </c>
      <c r="C624" t="s">
        <v>4274</v>
      </c>
    </row>
    <row r="625" spans="1:3" x14ac:dyDescent="0.2">
      <c r="A625" t="str">
        <f t="shared" si="9"/>
        <v>return_code_2555</v>
      </c>
      <c r="B625" t="s">
        <v>4275</v>
      </c>
      <c r="C625" t="s">
        <v>4276</v>
      </c>
    </row>
    <row r="626" spans="1:3" x14ac:dyDescent="0.2">
      <c r="A626" t="str">
        <f t="shared" si="9"/>
        <v>return_code_2556</v>
      </c>
      <c r="B626" t="s">
        <v>4277</v>
      </c>
      <c r="C626" t="s">
        <v>4278</v>
      </c>
    </row>
    <row r="627" spans="1:3" x14ac:dyDescent="0.2">
      <c r="A627" t="str">
        <f t="shared" si="9"/>
        <v>return_code_2557</v>
      </c>
      <c r="B627" t="s">
        <v>4279</v>
      </c>
      <c r="C627" t="s">
        <v>4280</v>
      </c>
    </row>
    <row r="628" spans="1:3" x14ac:dyDescent="0.2">
      <c r="A628" t="str">
        <f t="shared" si="9"/>
        <v>return_code_2558</v>
      </c>
      <c r="B628" t="s">
        <v>4281</v>
      </c>
      <c r="C628" t="s">
        <v>4282</v>
      </c>
    </row>
    <row r="629" spans="1:3" x14ac:dyDescent="0.2">
      <c r="A629" t="str">
        <f t="shared" si="9"/>
        <v>return_code_2559</v>
      </c>
      <c r="B629" t="s">
        <v>4283</v>
      </c>
      <c r="C629" t="s">
        <v>4284</v>
      </c>
    </row>
    <row r="630" spans="1:3" x14ac:dyDescent="0.2">
      <c r="A630" t="str">
        <f t="shared" si="9"/>
        <v>return_code_2560</v>
      </c>
      <c r="B630" t="s">
        <v>4285</v>
      </c>
      <c r="C630" t="s">
        <v>4286</v>
      </c>
    </row>
    <row r="631" spans="1:3" x14ac:dyDescent="0.2">
      <c r="A631" t="str">
        <f t="shared" si="9"/>
        <v>return_code_2561</v>
      </c>
      <c r="B631" t="s">
        <v>4287</v>
      </c>
      <c r="C631" t="s">
        <v>4288</v>
      </c>
    </row>
    <row r="632" spans="1:3" x14ac:dyDescent="0.2">
      <c r="A632" t="str">
        <f t="shared" si="9"/>
        <v>return_code_2562</v>
      </c>
      <c r="B632" t="s">
        <v>4289</v>
      </c>
      <c r="C632" t="s">
        <v>4290</v>
      </c>
    </row>
    <row r="633" spans="1:3" x14ac:dyDescent="0.2">
      <c r="A633" t="str">
        <f t="shared" si="9"/>
        <v>return_code_2563</v>
      </c>
      <c r="B633" t="s">
        <v>4291</v>
      </c>
      <c r="C633" t="s">
        <v>4292</v>
      </c>
    </row>
    <row r="634" spans="1:3" x14ac:dyDescent="0.2">
      <c r="A634" t="str">
        <f t="shared" si="9"/>
        <v>return_code_2564</v>
      </c>
      <c r="B634" t="s">
        <v>4293</v>
      </c>
      <c r="C634" t="s">
        <v>4294</v>
      </c>
    </row>
    <row r="635" spans="1:3" x14ac:dyDescent="0.2">
      <c r="A635" t="str">
        <f t="shared" si="9"/>
        <v>return_code_2565</v>
      </c>
      <c r="B635" t="s">
        <v>4295</v>
      </c>
      <c r="C635" t="s">
        <v>4296</v>
      </c>
    </row>
    <row r="636" spans="1:3" x14ac:dyDescent="0.2">
      <c r="A636" t="str">
        <f t="shared" si="9"/>
        <v>return_code_2566</v>
      </c>
      <c r="B636" t="s">
        <v>4297</v>
      </c>
      <c r="C636" t="s">
        <v>4298</v>
      </c>
    </row>
    <row r="637" spans="1:3" x14ac:dyDescent="0.2">
      <c r="A637" t="str">
        <f t="shared" si="9"/>
        <v>return_code_2567</v>
      </c>
      <c r="B637" t="s">
        <v>4299</v>
      </c>
      <c r="C637" t="s">
        <v>4300</v>
      </c>
    </row>
    <row r="638" spans="1:3" x14ac:dyDescent="0.2">
      <c r="A638" t="str">
        <f t="shared" si="9"/>
        <v>return_code_2568</v>
      </c>
      <c r="B638" t="s">
        <v>4301</v>
      </c>
      <c r="C638" t="s">
        <v>4302</v>
      </c>
    </row>
    <row r="639" spans="1:3" x14ac:dyDescent="0.2">
      <c r="A639" t="str">
        <f t="shared" si="9"/>
        <v>return_code_2569</v>
      </c>
      <c r="B639" t="s">
        <v>4303</v>
      </c>
      <c r="C639" t="s">
        <v>4304</v>
      </c>
    </row>
    <row r="640" spans="1:3" x14ac:dyDescent="0.2">
      <c r="A640" t="str">
        <f t="shared" si="9"/>
        <v>return_code_2570</v>
      </c>
      <c r="B640" t="s">
        <v>4305</v>
      </c>
      <c r="C640" t="s">
        <v>4306</v>
      </c>
    </row>
    <row r="641" spans="1:3" x14ac:dyDescent="0.2">
      <c r="A641" t="str">
        <f t="shared" ref="A641:A704" si="10">CONCATENATE("return_code_",B641)</f>
        <v>return_code_2571</v>
      </c>
      <c r="B641" t="s">
        <v>4307</v>
      </c>
      <c r="C641" t="s">
        <v>4308</v>
      </c>
    </row>
    <row r="642" spans="1:3" x14ac:dyDescent="0.2">
      <c r="A642" t="str">
        <f t="shared" si="10"/>
        <v>return_code_2572</v>
      </c>
      <c r="B642" t="s">
        <v>4309</v>
      </c>
      <c r="C642" t="s">
        <v>4310</v>
      </c>
    </row>
    <row r="643" spans="1:3" x14ac:dyDescent="0.2">
      <c r="A643" t="str">
        <f t="shared" si="10"/>
        <v>return_code_2573</v>
      </c>
      <c r="B643" t="s">
        <v>4311</v>
      </c>
      <c r="C643" t="s">
        <v>4312</v>
      </c>
    </row>
    <row r="644" spans="1:3" x14ac:dyDescent="0.2">
      <c r="A644" t="str">
        <f t="shared" si="10"/>
        <v>return_code_2574</v>
      </c>
      <c r="B644" t="s">
        <v>4313</v>
      </c>
      <c r="C644" t="s">
        <v>4314</v>
      </c>
    </row>
    <row r="645" spans="1:3" x14ac:dyDescent="0.2">
      <c r="A645" t="str">
        <f t="shared" si="10"/>
        <v>return_code_2575</v>
      </c>
      <c r="B645" t="s">
        <v>4315</v>
      </c>
      <c r="C645" t="s">
        <v>4316</v>
      </c>
    </row>
    <row r="646" spans="1:3" x14ac:dyDescent="0.2">
      <c r="A646" t="str">
        <f t="shared" si="10"/>
        <v>return_code_2576</v>
      </c>
      <c r="B646" t="s">
        <v>4317</v>
      </c>
      <c r="C646" t="s">
        <v>4318</v>
      </c>
    </row>
    <row r="647" spans="1:3" x14ac:dyDescent="0.2">
      <c r="A647" t="str">
        <f t="shared" si="10"/>
        <v>return_code_2577</v>
      </c>
      <c r="B647" t="s">
        <v>4319</v>
      </c>
      <c r="C647" t="s">
        <v>4320</v>
      </c>
    </row>
    <row r="648" spans="1:3" x14ac:dyDescent="0.2">
      <c r="A648" t="str">
        <f t="shared" si="10"/>
        <v>return_code_2578</v>
      </c>
      <c r="B648" t="s">
        <v>4321</v>
      </c>
      <c r="C648" t="s">
        <v>4316</v>
      </c>
    </row>
    <row r="649" spans="1:3" x14ac:dyDescent="0.2">
      <c r="A649" t="str">
        <f t="shared" si="10"/>
        <v>return_code_2579</v>
      </c>
      <c r="B649" t="s">
        <v>4322</v>
      </c>
      <c r="C649" t="s">
        <v>4318</v>
      </c>
    </row>
    <row r="650" spans="1:3" x14ac:dyDescent="0.2">
      <c r="A650" t="str">
        <f t="shared" si="10"/>
        <v>return_code_2580</v>
      </c>
      <c r="B650" t="s">
        <v>4323</v>
      </c>
      <c r="C650" t="s">
        <v>4324</v>
      </c>
    </row>
    <row r="651" spans="1:3" x14ac:dyDescent="0.2">
      <c r="A651" t="str">
        <f t="shared" si="10"/>
        <v>return_code_2581</v>
      </c>
      <c r="B651" t="s">
        <v>4325</v>
      </c>
      <c r="C651" t="s">
        <v>4326</v>
      </c>
    </row>
    <row r="652" spans="1:3" x14ac:dyDescent="0.2">
      <c r="A652" t="str">
        <f t="shared" si="10"/>
        <v>return_code_2582</v>
      </c>
      <c r="B652" t="s">
        <v>4327</v>
      </c>
      <c r="C652" t="s">
        <v>4328</v>
      </c>
    </row>
    <row r="653" spans="1:3" x14ac:dyDescent="0.2">
      <c r="A653" t="str">
        <f t="shared" si="10"/>
        <v>return_code_2583</v>
      </c>
      <c r="B653" t="s">
        <v>4329</v>
      </c>
      <c r="C653" t="s">
        <v>4330</v>
      </c>
    </row>
    <row r="654" spans="1:3" x14ac:dyDescent="0.2">
      <c r="A654" t="str">
        <f t="shared" si="10"/>
        <v>return_code_2600</v>
      </c>
      <c r="B654" t="s">
        <v>4331</v>
      </c>
      <c r="C654" t="s">
        <v>4332</v>
      </c>
    </row>
    <row r="655" spans="1:3" x14ac:dyDescent="0.2">
      <c r="A655" t="str">
        <f t="shared" si="10"/>
        <v>return_code_2601</v>
      </c>
      <c r="B655" t="s">
        <v>4333</v>
      </c>
      <c r="C655" t="s">
        <v>4334</v>
      </c>
    </row>
    <row r="656" spans="1:3" x14ac:dyDescent="0.2">
      <c r="A656" t="str">
        <f t="shared" si="10"/>
        <v>return_code_2602</v>
      </c>
      <c r="B656" t="s">
        <v>4335</v>
      </c>
      <c r="C656" t="s">
        <v>4336</v>
      </c>
    </row>
    <row r="657" spans="1:3" x14ac:dyDescent="0.2">
      <c r="A657" t="str">
        <f t="shared" si="10"/>
        <v>return_code_2603</v>
      </c>
      <c r="B657" t="s">
        <v>4337</v>
      </c>
      <c r="C657" t="s">
        <v>4338</v>
      </c>
    </row>
    <row r="658" spans="1:3" x14ac:dyDescent="0.2">
      <c r="A658" t="str">
        <f t="shared" si="10"/>
        <v>return_code_2604</v>
      </c>
      <c r="B658" t="s">
        <v>4339</v>
      </c>
      <c r="C658" t="s">
        <v>4340</v>
      </c>
    </row>
    <row r="659" spans="1:3" x14ac:dyDescent="0.2">
      <c r="A659" t="str">
        <f t="shared" si="10"/>
        <v>return_code_2605</v>
      </c>
      <c r="B659" t="s">
        <v>4341</v>
      </c>
      <c r="C659" t="s">
        <v>4342</v>
      </c>
    </row>
    <row r="660" spans="1:3" x14ac:dyDescent="0.2">
      <c r="A660" t="str">
        <f t="shared" si="10"/>
        <v>return_code_2606</v>
      </c>
      <c r="B660" t="s">
        <v>4343</v>
      </c>
      <c r="C660" t="s">
        <v>4344</v>
      </c>
    </row>
    <row r="661" spans="1:3" x14ac:dyDescent="0.2">
      <c r="A661" t="str">
        <f t="shared" si="10"/>
        <v>return_code_2607</v>
      </c>
      <c r="B661" t="s">
        <v>4345</v>
      </c>
      <c r="C661" t="s">
        <v>4346</v>
      </c>
    </row>
    <row r="662" spans="1:3" x14ac:dyDescent="0.2">
      <c r="A662" t="str">
        <f t="shared" si="10"/>
        <v>return_code_2608</v>
      </c>
      <c r="B662" t="s">
        <v>4347</v>
      </c>
      <c r="C662" t="s">
        <v>4348</v>
      </c>
    </row>
    <row r="663" spans="1:3" x14ac:dyDescent="0.2">
      <c r="A663" t="str">
        <f t="shared" si="10"/>
        <v>return_code_2609</v>
      </c>
      <c r="B663" t="s">
        <v>4349</v>
      </c>
      <c r="C663" t="s">
        <v>4350</v>
      </c>
    </row>
    <row r="664" spans="1:3" x14ac:dyDescent="0.2">
      <c r="A664" t="str">
        <f t="shared" si="10"/>
        <v>return_code_2610</v>
      </c>
      <c r="B664" t="s">
        <v>2642</v>
      </c>
      <c r="C664" t="s">
        <v>4351</v>
      </c>
    </row>
    <row r="665" spans="1:3" x14ac:dyDescent="0.2">
      <c r="A665" t="str">
        <f t="shared" si="10"/>
        <v>return_code_2611</v>
      </c>
      <c r="B665" t="s">
        <v>4352</v>
      </c>
      <c r="C665" t="s">
        <v>4353</v>
      </c>
    </row>
    <row r="666" spans="1:3" x14ac:dyDescent="0.2">
      <c r="A666" t="str">
        <f t="shared" si="10"/>
        <v>return_code_2612</v>
      </c>
      <c r="B666" t="s">
        <v>4354</v>
      </c>
      <c r="C666" t="s">
        <v>4355</v>
      </c>
    </row>
    <row r="667" spans="1:3" x14ac:dyDescent="0.2">
      <c r="A667" t="str">
        <f t="shared" si="10"/>
        <v>return_code_2613</v>
      </c>
      <c r="B667" t="s">
        <v>4356</v>
      </c>
      <c r="C667" t="s">
        <v>4357</v>
      </c>
    </row>
    <row r="668" spans="1:3" x14ac:dyDescent="0.2">
      <c r="A668" t="str">
        <f t="shared" si="10"/>
        <v>return_code_2614</v>
      </c>
      <c r="B668" t="s">
        <v>4358</v>
      </c>
      <c r="C668" t="s">
        <v>4359</v>
      </c>
    </row>
    <row r="669" spans="1:3" x14ac:dyDescent="0.2">
      <c r="A669" t="str">
        <f t="shared" si="10"/>
        <v>return_code_2615</v>
      </c>
      <c r="B669" t="s">
        <v>4360</v>
      </c>
      <c r="C669" t="s">
        <v>4361</v>
      </c>
    </row>
    <row r="670" spans="1:3" x14ac:dyDescent="0.2">
      <c r="A670" t="str">
        <f t="shared" si="10"/>
        <v>return_code_2616</v>
      </c>
      <c r="B670" t="s">
        <v>4362</v>
      </c>
      <c r="C670" t="s">
        <v>4363</v>
      </c>
    </row>
    <row r="671" spans="1:3" x14ac:dyDescent="0.2">
      <c r="A671" t="str">
        <f t="shared" si="10"/>
        <v>return_code_2617</v>
      </c>
      <c r="B671" t="s">
        <v>4364</v>
      </c>
      <c r="C671" t="s">
        <v>4365</v>
      </c>
    </row>
    <row r="672" spans="1:3" x14ac:dyDescent="0.2">
      <c r="A672" t="str">
        <f t="shared" si="10"/>
        <v>return_code_2618</v>
      </c>
      <c r="B672" t="s">
        <v>4366</v>
      </c>
      <c r="C672" t="s">
        <v>4367</v>
      </c>
    </row>
    <row r="673" spans="1:3" x14ac:dyDescent="0.2">
      <c r="A673" t="str">
        <f t="shared" si="10"/>
        <v>return_code_2619</v>
      </c>
      <c r="B673" t="s">
        <v>4368</v>
      </c>
      <c r="C673" t="s">
        <v>4369</v>
      </c>
    </row>
    <row r="674" spans="1:3" x14ac:dyDescent="0.2">
      <c r="A674" t="str">
        <f t="shared" si="10"/>
        <v>return_code_2620</v>
      </c>
      <c r="B674" t="s">
        <v>2644</v>
      </c>
      <c r="C674" t="s">
        <v>4370</v>
      </c>
    </row>
    <row r="675" spans="1:3" x14ac:dyDescent="0.2">
      <c r="A675" t="str">
        <f t="shared" si="10"/>
        <v>return_code_2621</v>
      </c>
      <c r="B675" t="s">
        <v>4371</v>
      </c>
      <c r="C675" t="s">
        <v>4372</v>
      </c>
    </row>
    <row r="676" spans="1:3" x14ac:dyDescent="0.2">
      <c r="A676" t="str">
        <f t="shared" si="10"/>
        <v>return_code_2622</v>
      </c>
      <c r="B676" t="s">
        <v>4373</v>
      </c>
      <c r="C676" t="s">
        <v>4374</v>
      </c>
    </row>
    <row r="677" spans="1:3" x14ac:dyDescent="0.2">
      <c r="A677" t="str">
        <f t="shared" si="10"/>
        <v>return_code_2623</v>
      </c>
      <c r="B677" t="s">
        <v>4375</v>
      </c>
      <c r="C677" t="s">
        <v>4376</v>
      </c>
    </row>
    <row r="678" spans="1:3" x14ac:dyDescent="0.2">
      <c r="A678" t="str">
        <f t="shared" si="10"/>
        <v>return_code_2624</v>
      </c>
      <c r="B678" t="s">
        <v>4377</v>
      </c>
      <c r="C678" t="s">
        <v>4378</v>
      </c>
    </row>
    <row r="679" spans="1:3" x14ac:dyDescent="0.2">
      <c r="A679" t="str">
        <f t="shared" si="10"/>
        <v>return_code_2625</v>
      </c>
      <c r="B679" t="s">
        <v>4379</v>
      </c>
      <c r="C679" t="s">
        <v>4380</v>
      </c>
    </row>
    <row r="680" spans="1:3" x14ac:dyDescent="0.2">
      <c r="A680" t="str">
        <f t="shared" si="10"/>
        <v>return_code_2626</v>
      </c>
      <c r="B680" t="s">
        <v>4381</v>
      </c>
      <c r="C680" t="s">
        <v>4382</v>
      </c>
    </row>
    <row r="681" spans="1:3" x14ac:dyDescent="0.2">
      <c r="A681" t="str">
        <f t="shared" si="10"/>
        <v>return_code_2627</v>
      </c>
      <c r="B681" t="s">
        <v>4383</v>
      </c>
      <c r="C681" t="s">
        <v>4384</v>
      </c>
    </row>
    <row r="682" spans="1:3" x14ac:dyDescent="0.2">
      <c r="A682" t="str">
        <f t="shared" si="10"/>
        <v>return_code_2628</v>
      </c>
      <c r="B682" t="s">
        <v>4385</v>
      </c>
      <c r="C682" t="s">
        <v>4386</v>
      </c>
    </row>
    <row r="683" spans="1:3" x14ac:dyDescent="0.2">
      <c r="A683" t="str">
        <f t="shared" si="10"/>
        <v>return_code_2629</v>
      </c>
      <c r="B683" t="s">
        <v>4387</v>
      </c>
      <c r="C683" t="s">
        <v>4388</v>
      </c>
    </row>
    <row r="684" spans="1:3" x14ac:dyDescent="0.2">
      <c r="A684" t="str">
        <f t="shared" si="10"/>
        <v>return_code_2630</v>
      </c>
      <c r="B684" t="s">
        <v>2646</v>
      </c>
      <c r="C684" t="s">
        <v>4389</v>
      </c>
    </row>
    <row r="685" spans="1:3" x14ac:dyDescent="0.2">
      <c r="A685" t="str">
        <f t="shared" si="10"/>
        <v>return_code_2631</v>
      </c>
      <c r="B685" t="s">
        <v>4390</v>
      </c>
      <c r="C685" t="s">
        <v>4391</v>
      </c>
    </row>
    <row r="686" spans="1:3" x14ac:dyDescent="0.2">
      <c r="A686" t="str">
        <f t="shared" si="10"/>
        <v>return_code_2632</v>
      </c>
      <c r="B686" t="s">
        <v>4392</v>
      </c>
      <c r="C686" t="s">
        <v>4393</v>
      </c>
    </row>
    <row r="687" spans="1:3" x14ac:dyDescent="0.2">
      <c r="A687" t="str">
        <f t="shared" si="10"/>
        <v>return_code_2633</v>
      </c>
      <c r="B687" t="s">
        <v>4394</v>
      </c>
      <c r="C687" t="s">
        <v>4395</v>
      </c>
    </row>
    <row r="688" spans="1:3" x14ac:dyDescent="0.2">
      <c r="A688" t="str">
        <f t="shared" si="10"/>
        <v>return_code_2634</v>
      </c>
      <c r="B688" t="s">
        <v>4396</v>
      </c>
      <c r="C688" t="s">
        <v>4397</v>
      </c>
    </row>
    <row r="689" spans="1:3" x14ac:dyDescent="0.2">
      <c r="A689" t="str">
        <f t="shared" si="10"/>
        <v>return_code_2635</v>
      </c>
      <c r="B689" t="s">
        <v>4398</v>
      </c>
      <c r="C689" t="s">
        <v>4399</v>
      </c>
    </row>
    <row r="690" spans="1:3" x14ac:dyDescent="0.2">
      <c r="A690" t="str">
        <f t="shared" si="10"/>
        <v>return_code_2636</v>
      </c>
      <c r="B690" t="s">
        <v>4400</v>
      </c>
      <c r="C690" t="s">
        <v>4401</v>
      </c>
    </row>
    <row r="691" spans="1:3" x14ac:dyDescent="0.2">
      <c r="A691" t="str">
        <f t="shared" si="10"/>
        <v>return_code_2637</v>
      </c>
      <c r="B691" t="s">
        <v>4402</v>
      </c>
      <c r="C691" t="s">
        <v>4403</v>
      </c>
    </row>
    <row r="692" spans="1:3" x14ac:dyDescent="0.2">
      <c r="A692" t="str">
        <f t="shared" si="10"/>
        <v>return_code_2640</v>
      </c>
      <c r="B692" t="s">
        <v>2648</v>
      </c>
      <c r="C692" t="s">
        <v>4404</v>
      </c>
    </row>
    <row r="693" spans="1:3" x14ac:dyDescent="0.2">
      <c r="A693" t="str">
        <f t="shared" si="10"/>
        <v>return_code_2641</v>
      </c>
      <c r="B693" t="s">
        <v>4405</v>
      </c>
      <c r="C693" t="s">
        <v>4406</v>
      </c>
    </row>
    <row r="694" spans="1:3" x14ac:dyDescent="0.2">
      <c r="A694" t="str">
        <f t="shared" si="10"/>
        <v>return_code_2642</v>
      </c>
      <c r="B694" t="s">
        <v>4407</v>
      </c>
      <c r="C694" t="s">
        <v>4408</v>
      </c>
    </row>
    <row r="695" spans="1:3" x14ac:dyDescent="0.2">
      <c r="A695" t="str">
        <f t="shared" si="10"/>
        <v>return_code_2643</v>
      </c>
      <c r="B695" t="s">
        <v>4409</v>
      </c>
      <c r="C695" t="s">
        <v>4410</v>
      </c>
    </row>
    <row r="696" spans="1:3" x14ac:dyDescent="0.2">
      <c r="A696" t="str">
        <f t="shared" si="10"/>
        <v>return_code_2644</v>
      </c>
      <c r="B696" t="s">
        <v>4411</v>
      </c>
      <c r="C696" t="s">
        <v>4412</v>
      </c>
    </row>
    <row r="697" spans="1:3" x14ac:dyDescent="0.2">
      <c r="A697" t="str">
        <f t="shared" si="10"/>
        <v>return_code_2645</v>
      </c>
      <c r="B697" t="s">
        <v>4413</v>
      </c>
      <c r="C697" t="s">
        <v>4414</v>
      </c>
    </row>
    <row r="698" spans="1:3" x14ac:dyDescent="0.2">
      <c r="A698" t="str">
        <f t="shared" si="10"/>
        <v>return_code_2646</v>
      </c>
      <c r="B698" t="s">
        <v>4415</v>
      </c>
      <c r="C698" t="s">
        <v>4416</v>
      </c>
    </row>
    <row r="699" spans="1:3" x14ac:dyDescent="0.2">
      <c r="A699" t="str">
        <f t="shared" si="10"/>
        <v>return_code_2647</v>
      </c>
      <c r="B699" t="s">
        <v>4417</v>
      </c>
      <c r="C699" t="s">
        <v>4418</v>
      </c>
    </row>
    <row r="700" spans="1:3" x14ac:dyDescent="0.2">
      <c r="A700" t="str">
        <f t="shared" si="10"/>
        <v>return_code_2648</v>
      </c>
      <c r="B700" t="s">
        <v>4419</v>
      </c>
      <c r="C700" t="s">
        <v>4420</v>
      </c>
    </row>
    <row r="701" spans="1:3" x14ac:dyDescent="0.2">
      <c r="A701" t="str">
        <f t="shared" si="10"/>
        <v>return_code_2649</v>
      </c>
      <c r="B701" t="s">
        <v>4421</v>
      </c>
      <c r="C701" t="s">
        <v>4422</v>
      </c>
    </row>
    <row r="702" spans="1:3" x14ac:dyDescent="0.2">
      <c r="A702" t="str">
        <f t="shared" si="10"/>
        <v>return_code_2650</v>
      </c>
      <c r="B702" t="s">
        <v>4423</v>
      </c>
      <c r="C702" t="s">
        <v>4424</v>
      </c>
    </row>
    <row r="703" spans="1:3" x14ac:dyDescent="0.2">
      <c r="A703" t="str">
        <f t="shared" si="10"/>
        <v>return_code_2651</v>
      </c>
      <c r="B703" t="s">
        <v>2650</v>
      </c>
      <c r="C703" t="s">
        <v>4425</v>
      </c>
    </row>
    <row r="704" spans="1:3" x14ac:dyDescent="0.2">
      <c r="A704" t="str">
        <f t="shared" si="10"/>
        <v>return_code_2652</v>
      </c>
      <c r="B704" t="s">
        <v>2652</v>
      </c>
      <c r="C704" t="s">
        <v>4426</v>
      </c>
    </row>
    <row r="705" spans="1:3" x14ac:dyDescent="0.2">
      <c r="A705" t="str">
        <f t="shared" ref="A705:A768" si="11">CONCATENATE("return_code_",B705)</f>
        <v>return_code_2653</v>
      </c>
      <c r="B705" t="s">
        <v>4427</v>
      </c>
      <c r="C705" t="s">
        <v>4428</v>
      </c>
    </row>
    <row r="706" spans="1:3" x14ac:dyDescent="0.2">
      <c r="A706" t="str">
        <f t="shared" si="11"/>
        <v>return_code_2654</v>
      </c>
      <c r="B706" t="s">
        <v>4429</v>
      </c>
      <c r="C706" t="s">
        <v>4430</v>
      </c>
    </row>
    <row r="707" spans="1:3" x14ac:dyDescent="0.2">
      <c r="A707" t="str">
        <f t="shared" si="11"/>
        <v>return_code_2655</v>
      </c>
      <c r="B707" t="s">
        <v>4431</v>
      </c>
      <c r="C707" t="s">
        <v>4432</v>
      </c>
    </row>
    <row r="708" spans="1:3" x14ac:dyDescent="0.2">
      <c r="A708" t="str">
        <f t="shared" si="11"/>
        <v>return_code_2656</v>
      </c>
      <c r="B708" t="s">
        <v>4433</v>
      </c>
      <c r="C708" t="s">
        <v>4434</v>
      </c>
    </row>
    <row r="709" spans="1:3" x14ac:dyDescent="0.2">
      <c r="A709" t="str">
        <f t="shared" si="11"/>
        <v>return_code_2657</v>
      </c>
      <c r="B709" t="s">
        <v>4435</v>
      </c>
      <c r="C709" t="s">
        <v>4436</v>
      </c>
    </row>
    <row r="710" spans="1:3" x14ac:dyDescent="0.2">
      <c r="A710" t="str">
        <f t="shared" si="11"/>
        <v>return_code_2658</v>
      </c>
      <c r="B710" t="s">
        <v>4437</v>
      </c>
      <c r="C710" t="s">
        <v>4438</v>
      </c>
    </row>
    <row r="711" spans="1:3" x14ac:dyDescent="0.2">
      <c r="A711" t="str">
        <f t="shared" si="11"/>
        <v>return_code_2659</v>
      </c>
      <c r="B711" t="s">
        <v>4439</v>
      </c>
      <c r="C711" t="s">
        <v>4440</v>
      </c>
    </row>
    <row r="712" spans="1:3" x14ac:dyDescent="0.2">
      <c r="A712" t="str">
        <f t="shared" si="11"/>
        <v>return_code_2660</v>
      </c>
      <c r="B712" t="s">
        <v>2654</v>
      </c>
      <c r="C712" t="s">
        <v>4441</v>
      </c>
    </row>
    <row r="713" spans="1:3" x14ac:dyDescent="0.2">
      <c r="A713" t="str">
        <f t="shared" si="11"/>
        <v>return_code_2661</v>
      </c>
      <c r="B713" t="s">
        <v>4442</v>
      </c>
      <c r="C713" t="s">
        <v>4443</v>
      </c>
    </row>
    <row r="714" spans="1:3" x14ac:dyDescent="0.2">
      <c r="A714" t="str">
        <f t="shared" si="11"/>
        <v>return_code_2662</v>
      </c>
      <c r="B714" t="s">
        <v>4444</v>
      </c>
      <c r="C714" t="s">
        <v>4445</v>
      </c>
    </row>
    <row r="715" spans="1:3" x14ac:dyDescent="0.2">
      <c r="A715" t="str">
        <f t="shared" si="11"/>
        <v>return_code_2663</v>
      </c>
      <c r="B715" t="s">
        <v>4446</v>
      </c>
      <c r="C715" t="s">
        <v>4447</v>
      </c>
    </row>
    <row r="716" spans="1:3" x14ac:dyDescent="0.2">
      <c r="A716" t="str">
        <f t="shared" si="11"/>
        <v>return_code_2664</v>
      </c>
      <c r="B716" t="s">
        <v>4448</v>
      </c>
      <c r="C716" t="s">
        <v>4449</v>
      </c>
    </row>
    <row r="717" spans="1:3" x14ac:dyDescent="0.2">
      <c r="A717" t="str">
        <f t="shared" si="11"/>
        <v>return_code_2665</v>
      </c>
      <c r="B717" t="s">
        <v>4450</v>
      </c>
      <c r="C717" t="s">
        <v>4451</v>
      </c>
    </row>
    <row r="718" spans="1:3" x14ac:dyDescent="0.2">
      <c r="A718" t="str">
        <f t="shared" si="11"/>
        <v>return_code_2666</v>
      </c>
      <c r="B718" t="s">
        <v>4452</v>
      </c>
      <c r="C718" t="s">
        <v>4453</v>
      </c>
    </row>
    <row r="719" spans="1:3" x14ac:dyDescent="0.2">
      <c r="A719" t="str">
        <f t="shared" si="11"/>
        <v>return_code_2667</v>
      </c>
      <c r="B719" t="s">
        <v>4454</v>
      </c>
      <c r="C719" t="s">
        <v>4361</v>
      </c>
    </row>
    <row r="720" spans="1:3" x14ac:dyDescent="0.2">
      <c r="A720" t="str">
        <f t="shared" si="11"/>
        <v>return_code_2668</v>
      </c>
      <c r="B720" t="s">
        <v>4455</v>
      </c>
      <c r="C720" t="s">
        <v>4456</v>
      </c>
    </row>
    <row r="721" spans="1:3" x14ac:dyDescent="0.2">
      <c r="A721" t="str">
        <f t="shared" si="11"/>
        <v>return_code_2669</v>
      </c>
      <c r="B721" t="s">
        <v>4457</v>
      </c>
      <c r="C721" t="s">
        <v>4458</v>
      </c>
    </row>
    <row r="722" spans="1:3" x14ac:dyDescent="0.2">
      <c r="A722" t="str">
        <f t="shared" si="11"/>
        <v>return_code_2670</v>
      </c>
      <c r="B722" t="s">
        <v>2656</v>
      </c>
      <c r="C722" t="s">
        <v>4459</v>
      </c>
    </row>
    <row r="723" spans="1:3" x14ac:dyDescent="0.2">
      <c r="A723" t="str">
        <f t="shared" si="11"/>
        <v>return_code_2671</v>
      </c>
      <c r="B723" t="s">
        <v>4460</v>
      </c>
      <c r="C723" t="s">
        <v>4461</v>
      </c>
    </row>
    <row r="724" spans="1:3" x14ac:dyDescent="0.2">
      <c r="A724" t="str">
        <f t="shared" si="11"/>
        <v>return_code_2672</v>
      </c>
      <c r="B724" t="s">
        <v>4462</v>
      </c>
      <c r="C724" t="s">
        <v>4463</v>
      </c>
    </row>
    <row r="725" spans="1:3" x14ac:dyDescent="0.2">
      <c r="A725" t="str">
        <f t="shared" si="11"/>
        <v>return_code_2673</v>
      </c>
      <c r="B725" t="s">
        <v>4464</v>
      </c>
      <c r="C725" t="s">
        <v>4465</v>
      </c>
    </row>
    <row r="726" spans="1:3" x14ac:dyDescent="0.2">
      <c r="A726" t="str">
        <f t="shared" si="11"/>
        <v>return_code_2674</v>
      </c>
      <c r="B726" t="s">
        <v>4466</v>
      </c>
      <c r="C726" t="s">
        <v>4467</v>
      </c>
    </row>
    <row r="727" spans="1:3" x14ac:dyDescent="0.2">
      <c r="A727" t="str">
        <f t="shared" si="11"/>
        <v>return_code_2675</v>
      </c>
      <c r="B727" t="s">
        <v>4468</v>
      </c>
      <c r="C727" t="s">
        <v>4469</v>
      </c>
    </row>
    <row r="728" spans="1:3" x14ac:dyDescent="0.2">
      <c r="A728" t="str">
        <f t="shared" si="11"/>
        <v>return_code_2676</v>
      </c>
      <c r="B728" t="s">
        <v>4470</v>
      </c>
      <c r="C728" t="s">
        <v>4471</v>
      </c>
    </row>
    <row r="729" spans="1:3" x14ac:dyDescent="0.2">
      <c r="A729" t="str">
        <f t="shared" si="11"/>
        <v>return_code_2677</v>
      </c>
      <c r="B729" t="s">
        <v>4472</v>
      </c>
      <c r="C729" t="s">
        <v>4473</v>
      </c>
    </row>
    <row r="730" spans="1:3" x14ac:dyDescent="0.2">
      <c r="A730" t="str">
        <f t="shared" si="11"/>
        <v>return_code_2678</v>
      </c>
      <c r="B730" t="s">
        <v>4474</v>
      </c>
      <c r="C730" t="s">
        <v>4475</v>
      </c>
    </row>
    <row r="731" spans="1:3" x14ac:dyDescent="0.2">
      <c r="A731" t="str">
        <f t="shared" si="11"/>
        <v>return_code_2679</v>
      </c>
      <c r="B731" t="s">
        <v>4476</v>
      </c>
      <c r="C731" t="s">
        <v>4477</v>
      </c>
    </row>
    <row r="732" spans="1:3" x14ac:dyDescent="0.2">
      <c r="A732" t="str">
        <f t="shared" si="11"/>
        <v>return_code_2680</v>
      </c>
      <c r="B732" t="s">
        <v>2658</v>
      </c>
      <c r="C732" t="s">
        <v>4478</v>
      </c>
    </row>
    <row r="733" spans="1:3" x14ac:dyDescent="0.2">
      <c r="A733" t="str">
        <f t="shared" si="11"/>
        <v>return_code_2681</v>
      </c>
      <c r="B733" t="s">
        <v>4479</v>
      </c>
      <c r="C733" t="s">
        <v>4480</v>
      </c>
    </row>
    <row r="734" spans="1:3" x14ac:dyDescent="0.2">
      <c r="A734" t="str">
        <f t="shared" si="11"/>
        <v>return_code_2682</v>
      </c>
      <c r="B734" t="s">
        <v>4481</v>
      </c>
      <c r="C734" t="s">
        <v>4482</v>
      </c>
    </row>
    <row r="735" spans="1:3" x14ac:dyDescent="0.2">
      <c r="A735" t="str">
        <f t="shared" si="11"/>
        <v>return_code_2683</v>
      </c>
      <c r="B735" t="s">
        <v>4483</v>
      </c>
      <c r="C735" t="s">
        <v>4484</v>
      </c>
    </row>
    <row r="736" spans="1:3" x14ac:dyDescent="0.2">
      <c r="A736" t="str">
        <f t="shared" si="11"/>
        <v>return_code_2684</v>
      </c>
      <c r="B736" t="s">
        <v>4485</v>
      </c>
      <c r="C736" t="s">
        <v>4486</v>
      </c>
    </row>
    <row r="737" spans="1:3" x14ac:dyDescent="0.2">
      <c r="A737" t="str">
        <f t="shared" si="11"/>
        <v>return_code_2685</v>
      </c>
      <c r="B737" t="s">
        <v>4487</v>
      </c>
      <c r="C737" t="s">
        <v>4488</v>
      </c>
    </row>
    <row r="738" spans="1:3" x14ac:dyDescent="0.2">
      <c r="A738" t="str">
        <f t="shared" si="11"/>
        <v>return_code_2686</v>
      </c>
      <c r="B738" t="s">
        <v>4489</v>
      </c>
      <c r="C738" t="s">
        <v>4490</v>
      </c>
    </row>
    <row r="739" spans="1:3" x14ac:dyDescent="0.2">
      <c r="A739" t="str">
        <f t="shared" si="11"/>
        <v>return_code_2687</v>
      </c>
      <c r="B739" t="s">
        <v>4491</v>
      </c>
      <c r="C739" t="s">
        <v>4492</v>
      </c>
    </row>
    <row r="740" spans="1:3" x14ac:dyDescent="0.2">
      <c r="A740" t="str">
        <f t="shared" si="11"/>
        <v>return_code_2689</v>
      </c>
      <c r="B740" t="s">
        <v>4493</v>
      </c>
      <c r="C740" t="s">
        <v>4494</v>
      </c>
    </row>
    <row r="741" spans="1:3" x14ac:dyDescent="0.2">
      <c r="A741" t="str">
        <f t="shared" si="11"/>
        <v>return_code_2690</v>
      </c>
      <c r="B741" t="s">
        <v>4495</v>
      </c>
      <c r="C741" t="s">
        <v>4496</v>
      </c>
    </row>
    <row r="742" spans="1:3" x14ac:dyDescent="0.2">
      <c r="A742" t="str">
        <f t="shared" si="11"/>
        <v>return_code_2691</v>
      </c>
      <c r="B742" t="s">
        <v>4497</v>
      </c>
      <c r="C742" t="s">
        <v>4498</v>
      </c>
    </row>
    <row r="743" spans="1:3" x14ac:dyDescent="0.2">
      <c r="A743" t="str">
        <f t="shared" si="11"/>
        <v>return_code_2692</v>
      </c>
      <c r="B743" t="s">
        <v>4499</v>
      </c>
      <c r="C743" t="s">
        <v>4500</v>
      </c>
    </row>
    <row r="744" spans="1:3" x14ac:dyDescent="0.2">
      <c r="A744" t="str">
        <f t="shared" si="11"/>
        <v>return_code_2693</v>
      </c>
      <c r="B744" t="s">
        <v>4501</v>
      </c>
      <c r="C744" t="s">
        <v>4502</v>
      </c>
    </row>
    <row r="745" spans="1:3" x14ac:dyDescent="0.2">
      <c r="A745" t="str">
        <f t="shared" si="11"/>
        <v>return_code_2694</v>
      </c>
      <c r="B745" t="s">
        <v>4503</v>
      </c>
      <c r="C745" t="s">
        <v>4504</v>
      </c>
    </row>
    <row r="746" spans="1:3" x14ac:dyDescent="0.2">
      <c r="A746" t="str">
        <f t="shared" si="11"/>
        <v>return_code_2695</v>
      </c>
      <c r="B746" t="s">
        <v>4505</v>
      </c>
      <c r="C746" t="s">
        <v>4506</v>
      </c>
    </row>
    <row r="747" spans="1:3" x14ac:dyDescent="0.2">
      <c r="A747" t="str">
        <f t="shared" si="11"/>
        <v>return_code_2696</v>
      </c>
      <c r="B747" t="s">
        <v>4507</v>
      </c>
      <c r="C747" t="s">
        <v>4508</v>
      </c>
    </row>
    <row r="748" spans="1:3" x14ac:dyDescent="0.2">
      <c r="A748" t="str">
        <f t="shared" si="11"/>
        <v>return_code_2697</v>
      </c>
      <c r="B748" t="s">
        <v>4509</v>
      </c>
      <c r="C748" t="s">
        <v>4510</v>
      </c>
    </row>
    <row r="749" spans="1:3" x14ac:dyDescent="0.2">
      <c r="A749" t="str">
        <f t="shared" si="11"/>
        <v>return_code_2698</v>
      </c>
      <c r="B749" t="s">
        <v>4511</v>
      </c>
      <c r="C749" t="s">
        <v>4512</v>
      </c>
    </row>
    <row r="750" spans="1:3" x14ac:dyDescent="0.2">
      <c r="A750" t="str">
        <f t="shared" si="11"/>
        <v>return_code_2699</v>
      </c>
      <c r="B750" t="s">
        <v>4513</v>
      </c>
      <c r="C750" t="s">
        <v>4514</v>
      </c>
    </row>
    <row r="751" spans="1:3" x14ac:dyDescent="0.2">
      <c r="A751" t="str">
        <f t="shared" si="11"/>
        <v>return_code_2700</v>
      </c>
      <c r="B751" t="s">
        <v>4515</v>
      </c>
      <c r="C751" t="s">
        <v>4516</v>
      </c>
    </row>
    <row r="752" spans="1:3" x14ac:dyDescent="0.2">
      <c r="A752" t="str">
        <f t="shared" si="11"/>
        <v>return_code_2701</v>
      </c>
      <c r="B752" t="s">
        <v>4517</v>
      </c>
      <c r="C752" t="s">
        <v>4518</v>
      </c>
    </row>
    <row r="753" spans="1:3" x14ac:dyDescent="0.2">
      <c r="A753" t="str">
        <f t="shared" si="11"/>
        <v>return_code_2702</v>
      </c>
      <c r="B753" t="s">
        <v>4519</v>
      </c>
      <c r="C753" t="s">
        <v>4520</v>
      </c>
    </row>
    <row r="754" spans="1:3" x14ac:dyDescent="0.2">
      <c r="A754" t="str">
        <f t="shared" si="11"/>
        <v>return_code_2703</v>
      </c>
      <c r="B754" t="s">
        <v>4521</v>
      </c>
      <c r="C754" t="s">
        <v>4522</v>
      </c>
    </row>
    <row r="755" spans="1:3" x14ac:dyDescent="0.2">
      <c r="A755" t="str">
        <f t="shared" si="11"/>
        <v>return_code_2704</v>
      </c>
      <c r="B755" t="s">
        <v>4523</v>
      </c>
      <c r="C755" t="s">
        <v>4524</v>
      </c>
    </row>
    <row r="756" spans="1:3" x14ac:dyDescent="0.2">
      <c r="A756" t="str">
        <f t="shared" si="11"/>
        <v>return_code_2705</v>
      </c>
      <c r="B756" t="s">
        <v>4525</v>
      </c>
      <c r="C756" t="s">
        <v>4526</v>
      </c>
    </row>
    <row r="757" spans="1:3" x14ac:dyDescent="0.2">
      <c r="A757" t="str">
        <f t="shared" si="11"/>
        <v>return_code_2706</v>
      </c>
      <c r="B757" t="s">
        <v>4527</v>
      </c>
      <c r="C757" t="s">
        <v>4528</v>
      </c>
    </row>
    <row r="758" spans="1:3" x14ac:dyDescent="0.2">
      <c r="A758" t="str">
        <f t="shared" si="11"/>
        <v>return_code_2707</v>
      </c>
      <c r="B758" t="s">
        <v>4529</v>
      </c>
      <c r="C758" t="s">
        <v>4530</v>
      </c>
    </row>
    <row r="759" spans="1:3" x14ac:dyDescent="0.2">
      <c r="A759" t="str">
        <f t="shared" si="11"/>
        <v>return_code_2708</v>
      </c>
      <c r="B759" t="s">
        <v>4531</v>
      </c>
      <c r="C759" t="s">
        <v>4532</v>
      </c>
    </row>
    <row r="760" spans="1:3" x14ac:dyDescent="0.2">
      <c r="A760" t="str">
        <f t="shared" si="11"/>
        <v>return_code_2709</v>
      </c>
      <c r="B760" t="s">
        <v>4533</v>
      </c>
      <c r="C760" t="s">
        <v>4534</v>
      </c>
    </row>
    <row r="761" spans="1:3" x14ac:dyDescent="0.2">
      <c r="A761" t="str">
        <f t="shared" si="11"/>
        <v>return_code_2710</v>
      </c>
      <c r="B761" t="s">
        <v>2660</v>
      </c>
      <c r="C761" t="s">
        <v>4535</v>
      </c>
    </row>
    <row r="762" spans="1:3" x14ac:dyDescent="0.2">
      <c r="A762" t="str">
        <f t="shared" si="11"/>
        <v>return_code_2711</v>
      </c>
      <c r="B762" t="s">
        <v>4536</v>
      </c>
      <c r="C762" t="s">
        <v>4537</v>
      </c>
    </row>
    <row r="763" spans="1:3" x14ac:dyDescent="0.2">
      <c r="A763" t="str">
        <f t="shared" si="11"/>
        <v>return_code_2712</v>
      </c>
      <c r="B763" t="s">
        <v>4538</v>
      </c>
      <c r="C763" t="s">
        <v>4539</v>
      </c>
    </row>
    <row r="764" spans="1:3" x14ac:dyDescent="0.2">
      <c r="A764" t="str">
        <f t="shared" si="11"/>
        <v>return_code_2713</v>
      </c>
      <c r="B764" t="s">
        <v>4540</v>
      </c>
      <c r="C764" t="s">
        <v>4541</v>
      </c>
    </row>
    <row r="765" spans="1:3" x14ac:dyDescent="0.2">
      <c r="A765" t="str">
        <f t="shared" si="11"/>
        <v>return_code_2714</v>
      </c>
      <c r="B765" t="s">
        <v>4542</v>
      </c>
      <c r="C765" t="s">
        <v>4543</v>
      </c>
    </row>
    <row r="766" spans="1:3" x14ac:dyDescent="0.2">
      <c r="A766" t="str">
        <f t="shared" si="11"/>
        <v>return_code_2715</v>
      </c>
      <c r="B766" t="s">
        <v>4544</v>
      </c>
      <c r="C766" t="s">
        <v>4545</v>
      </c>
    </row>
    <row r="767" spans="1:3" x14ac:dyDescent="0.2">
      <c r="A767" t="str">
        <f t="shared" si="11"/>
        <v>return_code_2716</v>
      </c>
      <c r="B767" t="s">
        <v>4546</v>
      </c>
      <c r="C767" t="s">
        <v>4547</v>
      </c>
    </row>
    <row r="768" spans="1:3" x14ac:dyDescent="0.2">
      <c r="A768" t="str">
        <f t="shared" si="11"/>
        <v>return_code_2717</v>
      </c>
      <c r="B768" t="s">
        <v>4548</v>
      </c>
      <c r="C768" t="s">
        <v>4549</v>
      </c>
    </row>
    <row r="769" spans="1:3" x14ac:dyDescent="0.2">
      <c r="A769" t="str">
        <f t="shared" ref="A769:A832" si="12">CONCATENATE("return_code_",B769)</f>
        <v>return_code_2718</v>
      </c>
      <c r="B769" t="s">
        <v>4550</v>
      </c>
      <c r="C769" t="s">
        <v>4551</v>
      </c>
    </row>
    <row r="770" spans="1:3" x14ac:dyDescent="0.2">
      <c r="A770" t="str">
        <f t="shared" si="12"/>
        <v>return_code_2719</v>
      </c>
      <c r="B770" t="s">
        <v>4552</v>
      </c>
      <c r="C770" t="s">
        <v>4553</v>
      </c>
    </row>
    <row r="771" spans="1:3" x14ac:dyDescent="0.2">
      <c r="A771" t="str">
        <f t="shared" si="12"/>
        <v>return_code_2720</v>
      </c>
      <c r="B771" t="s">
        <v>2662</v>
      </c>
      <c r="C771" t="s">
        <v>4554</v>
      </c>
    </row>
    <row r="772" spans="1:3" x14ac:dyDescent="0.2">
      <c r="A772" t="str">
        <f t="shared" si="12"/>
        <v>return_code_2721</v>
      </c>
      <c r="B772" t="s">
        <v>4555</v>
      </c>
      <c r="C772" t="s">
        <v>4556</v>
      </c>
    </row>
    <row r="773" spans="1:3" x14ac:dyDescent="0.2">
      <c r="A773" t="str">
        <f t="shared" si="12"/>
        <v>return_code_2722</v>
      </c>
      <c r="B773" t="s">
        <v>4557</v>
      </c>
      <c r="C773" t="s">
        <v>4558</v>
      </c>
    </row>
    <row r="774" spans="1:3" x14ac:dyDescent="0.2">
      <c r="A774" t="str">
        <f t="shared" si="12"/>
        <v>return_code_2723</v>
      </c>
      <c r="B774" t="s">
        <v>4559</v>
      </c>
      <c r="C774" t="s">
        <v>4560</v>
      </c>
    </row>
    <row r="775" spans="1:3" x14ac:dyDescent="0.2">
      <c r="A775" t="str">
        <f t="shared" si="12"/>
        <v>return_code_2724</v>
      </c>
      <c r="B775" t="s">
        <v>4561</v>
      </c>
      <c r="C775" t="s">
        <v>4562</v>
      </c>
    </row>
    <row r="776" spans="1:3" x14ac:dyDescent="0.2">
      <c r="A776" t="str">
        <f t="shared" si="12"/>
        <v>return_code_2725</v>
      </c>
      <c r="B776" t="s">
        <v>4563</v>
      </c>
      <c r="C776" t="s">
        <v>4564</v>
      </c>
    </row>
    <row r="777" spans="1:3" x14ac:dyDescent="0.2">
      <c r="A777" t="str">
        <f t="shared" si="12"/>
        <v>return_code_2726</v>
      </c>
      <c r="B777" t="s">
        <v>4565</v>
      </c>
      <c r="C777" t="s">
        <v>4566</v>
      </c>
    </row>
    <row r="778" spans="1:3" x14ac:dyDescent="0.2">
      <c r="A778" t="str">
        <f t="shared" si="12"/>
        <v>return_code_2727</v>
      </c>
      <c r="B778" t="s">
        <v>4567</v>
      </c>
      <c r="C778" t="s">
        <v>4566</v>
      </c>
    </row>
    <row r="779" spans="1:3" x14ac:dyDescent="0.2">
      <c r="A779" t="str">
        <f t="shared" si="12"/>
        <v>return_code_2728</v>
      </c>
      <c r="B779" t="s">
        <v>4568</v>
      </c>
      <c r="C779" t="s">
        <v>4569</v>
      </c>
    </row>
    <row r="780" spans="1:3" x14ac:dyDescent="0.2">
      <c r="A780" t="str">
        <f t="shared" si="12"/>
        <v>return_code_2729</v>
      </c>
      <c r="B780" t="s">
        <v>4570</v>
      </c>
      <c r="C780" t="s">
        <v>4571</v>
      </c>
    </row>
    <row r="781" spans="1:3" x14ac:dyDescent="0.2">
      <c r="A781" t="str">
        <f t="shared" si="12"/>
        <v>return_code_2730</v>
      </c>
      <c r="B781" t="s">
        <v>4572</v>
      </c>
      <c r="C781" t="s">
        <v>4573</v>
      </c>
    </row>
    <row r="782" spans="1:3" x14ac:dyDescent="0.2">
      <c r="A782" t="str">
        <f t="shared" si="12"/>
        <v>return_code_2731</v>
      </c>
      <c r="B782" t="s">
        <v>2664</v>
      </c>
      <c r="C782" t="s">
        <v>4574</v>
      </c>
    </row>
    <row r="783" spans="1:3" x14ac:dyDescent="0.2">
      <c r="A783" t="str">
        <f t="shared" si="12"/>
        <v>return_code_2732</v>
      </c>
      <c r="B783" t="s">
        <v>2666</v>
      </c>
      <c r="C783" t="s">
        <v>4575</v>
      </c>
    </row>
    <row r="784" spans="1:3" x14ac:dyDescent="0.2">
      <c r="A784" t="str">
        <f t="shared" si="12"/>
        <v>return_code_2733</v>
      </c>
      <c r="B784" t="s">
        <v>2668</v>
      </c>
      <c r="C784" t="s">
        <v>4576</v>
      </c>
    </row>
    <row r="785" spans="1:3" x14ac:dyDescent="0.2">
      <c r="A785" t="str">
        <f t="shared" si="12"/>
        <v>return_code_2734</v>
      </c>
      <c r="B785" t="s">
        <v>4577</v>
      </c>
      <c r="C785" t="s">
        <v>4578</v>
      </c>
    </row>
    <row r="786" spans="1:3" x14ac:dyDescent="0.2">
      <c r="A786" t="str">
        <f t="shared" si="12"/>
        <v>return_code_2735</v>
      </c>
      <c r="B786" t="s">
        <v>4579</v>
      </c>
      <c r="C786" t="s">
        <v>4580</v>
      </c>
    </row>
    <row r="787" spans="1:3" x14ac:dyDescent="0.2">
      <c r="A787" t="str">
        <f t="shared" si="12"/>
        <v>return_code_2736</v>
      </c>
      <c r="B787" t="s">
        <v>4581</v>
      </c>
      <c r="C787" t="s">
        <v>4582</v>
      </c>
    </row>
    <row r="788" spans="1:3" x14ac:dyDescent="0.2">
      <c r="A788" t="str">
        <f t="shared" si="12"/>
        <v>return_code_2737</v>
      </c>
      <c r="B788" t="s">
        <v>4583</v>
      </c>
      <c r="C788" t="s">
        <v>4584</v>
      </c>
    </row>
    <row r="789" spans="1:3" x14ac:dyDescent="0.2">
      <c r="A789" t="str">
        <f t="shared" si="12"/>
        <v>return_code_2738</v>
      </c>
      <c r="B789" t="s">
        <v>4585</v>
      </c>
      <c r="C789" t="s">
        <v>4586</v>
      </c>
    </row>
    <row r="790" spans="1:3" x14ac:dyDescent="0.2">
      <c r="A790" t="str">
        <f t="shared" si="12"/>
        <v>return_code_2739</v>
      </c>
      <c r="B790" t="s">
        <v>4587</v>
      </c>
      <c r="C790" t="s">
        <v>4588</v>
      </c>
    </row>
    <row r="791" spans="1:3" x14ac:dyDescent="0.2">
      <c r="A791" t="str">
        <f t="shared" si="12"/>
        <v>return_code_2740</v>
      </c>
      <c r="B791" t="s">
        <v>2670</v>
      </c>
      <c r="C791" t="s">
        <v>4589</v>
      </c>
    </row>
    <row r="792" spans="1:3" x14ac:dyDescent="0.2">
      <c r="A792" t="str">
        <f t="shared" si="12"/>
        <v>return_code_2741</v>
      </c>
      <c r="B792" t="s">
        <v>4590</v>
      </c>
      <c r="C792" t="s">
        <v>4591</v>
      </c>
    </row>
    <row r="793" spans="1:3" x14ac:dyDescent="0.2">
      <c r="A793" t="str">
        <f t="shared" si="12"/>
        <v>return_code_2742</v>
      </c>
      <c r="B793" t="s">
        <v>4592</v>
      </c>
      <c r="C793" t="s">
        <v>4593</v>
      </c>
    </row>
    <row r="794" spans="1:3" x14ac:dyDescent="0.2">
      <c r="A794" t="str">
        <f t="shared" si="12"/>
        <v>return_code_2743</v>
      </c>
      <c r="B794" t="s">
        <v>4594</v>
      </c>
      <c r="C794" t="s">
        <v>4595</v>
      </c>
    </row>
    <row r="795" spans="1:3" x14ac:dyDescent="0.2">
      <c r="A795" t="str">
        <f t="shared" si="12"/>
        <v>return_code_2744</v>
      </c>
      <c r="B795" t="s">
        <v>4596</v>
      </c>
      <c r="C795" t="s">
        <v>4597</v>
      </c>
    </row>
    <row r="796" spans="1:3" x14ac:dyDescent="0.2">
      <c r="A796" t="str">
        <f t="shared" si="12"/>
        <v>return_code_2745</v>
      </c>
      <c r="B796" t="s">
        <v>4598</v>
      </c>
      <c r="C796" t="s">
        <v>4599</v>
      </c>
    </row>
    <row r="797" spans="1:3" x14ac:dyDescent="0.2">
      <c r="A797" t="str">
        <f t="shared" si="12"/>
        <v>return_code_2746</v>
      </c>
      <c r="B797" t="s">
        <v>4600</v>
      </c>
      <c r="C797" t="s">
        <v>4601</v>
      </c>
    </row>
    <row r="798" spans="1:3" x14ac:dyDescent="0.2">
      <c r="A798" t="str">
        <f t="shared" si="12"/>
        <v>return_code_2747</v>
      </c>
      <c r="B798" t="s">
        <v>4602</v>
      </c>
      <c r="C798" t="s">
        <v>4603</v>
      </c>
    </row>
    <row r="799" spans="1:3" x14ac:dyDescent="0.2">
      <c r="A799" t="str">
        <f t="shared" si="12"/>
        <v>return_code_2748</v>
      </c>
      <c r="B799" t="s">
        <v>4604</v>
      </c>
      <c r="C799" t="s">
        <v>4605</v>
      </c>
    </row>
    <row r="800" spans="1:3" x14ac:dyDescent="0.2">
      <c r="A800" t="str">
        <f t="shared" si="12"/>
        <v>return_code_2749</v>
      </c>
      <c r="B800" t="s">
        <v>4606</v>
      </c>
      <c r="C800" t="s">
        <v>4607</v>
      </c>
    </row>
    <row r="801" spans="1:3" x14ac:dyDescent="0.2">
      <c r="A801" t="str">
        <f t="shared" si="12"/>
        <v>return_code_2750</v>
      </c>
      <c r="B801" t="s">
        <v>2672</v>
      </c>
      <c r="C801" t="s">
        <v>4608</v>
      </c>
    </row>
    <row r="802" spans="1:3" x14ac:dyDescent="0.2">
      <c r="A802" t="str">
        <f t="shared" si="12"/>
        <v>return_code_2751</v>
      </c>
      <c r="B802" t="s">
        <v>4609</v>
      </c>
      <c r="C802" t="s">
        <v>4610</v>
      </c>
    </row>
    <row r="803" spans="1:3" x14ac:dyDescent="0.2">
      <c r="A803" t="str">
        <f t="shared" si="12"/>
        <v>return_code_2752</v>
      </c>
      <c r="B803" t="s">
        <v>4611</v>
      </c>
      <c r="C803" t="s">
        <v>4612</v>
      </c>
    </row>
    <row r="804" spans="1:3" x14ac:dyDescent="0.2">
      <c r="A804" t="str">
        <f t="shared" si="12"/>
        <v>return_code_2753</v>
      </c>
      <c r="B804" t="s">
        <v>4613</v>
      </c>
      <c r="C804" t="s">
        <v>4614</v>
      </c>
    </row>
    <row r="805" spans="1:3" x14ac:dyDescent="0.2">
      <c r="A805" t="str">
        <f t="shared" si="12"/>
        <v>return_code_2754</v>
      </c>
      <c r="B805" t="s">
        <v>4615</v>
      </c>
      <c r="C805" t="s">
        <v>4616</v>
      </c>
    </row>
    <row r="806" spans="1:3" x14ac:dyDescent="0.2">
      <c r="A806" t="str">
        <f t="shared" si="12"/>
        <v>return_code_2755</v>
      </c>
      <c r="B806" t="s">
        <v>4617</v>
      </c>
      <c r="C806" t="s">
        <v>4618</v>
      </c>
    </row>
    <row r="807" spans="1:3" x14ac:dyDescent="0.2">
      <c r="A807" t="str">
        <f t="shared" si="12"/>
        <v>return_code_2756</v>
      </c>
      <c r="B807" t="s">
        <v>4619</v>
      </c>
      <c r="C807" t="s">
        <v>4620</v>
      </c>
    </row>
    <row r="808" spans="1:3" x14ac:dyDescent="0.2">
      <c r="A808" t="str">
        <f t="shared" si="12"/>
        <v>return_code_2757</v>
      </c>
      <c r="B808" t="s">
        <v>4621</v>
      </c>
      <c r="C808" t="s">
        <v>4622</v>
      </c>
    </row>
    <row r="809" spans="1:3" x14ac:dyDescent="0.2">
      <c r="A809" t="str">
        <f t="shared" si="12"/>
        <v>return_code_2758</v>
      </c>
      <c r="B809" t="s">
        <v>4623</v>
      </c>
      <c r="C809" t="s">
        <v>4624</v>
      </c>
    </row>
    <row r="810" spans="1:3" x14ac:dyDescent="0.2">
      <c r="A810" t="str">
        <f t="shared" si="12"/>
        <v>return_code_2759</v>
      </c>
      <c r="B810" t="s">
        <v>4625</v>
      </c>
      <c r="C810" t="s">
        <v>4626</v>
      </c>
    </row>
    <row r="811" spans="1:3" x14ac:dyDescent="0.2">
      <c r="A811" t="str">
        <f t="shared" si="12"/>
        <v>return_code_2760</v>
      </c>
      <c r="B811" t="s">
        <v>4627</v>
      </c>
      <c r="C811" t="s">
        <v>4628</v>
      </c>
    </row>
    <row r="812" spans="1:3" x14ac:dyDescent="0.2">
      <c r="A812" t="str">
        <f t="shared" si="12"/>
        <v>return_code_2761</v>
      </c>
      <c r="B812" t="s">
        <v>4629</v>
      </c>
      <c r="C812" t="s">
        <v>4630</v>
      </c>
    </row>
    <row r="813" spans="1:3" x14ac:dyDescent="0.2">
      <c r="A813" t="str">
        <f t="shared" si="12"/>
        <v>return_code_2762</v>
      </c>
      <c r="B813" t="s">
        <v>4631</v>
      </c>
      <c r="C813" t="s">
        <v>4632</v>
      </c>
    </row>
    <row r="814" spans="1:3" x14ac:dyDescent="0.2">
      <c r="A814" t="str">
        <f t="shared" si="12"/>
        <v>return_code_2763</v>
      </c>
      <c r="B814" t="s">
        <v>4633</v>
      </c>
      <c r="C814" t="s">
        <v>4634</v>
      </c>
    </row>
    <row r="815" spans="1:3" x14ac:dyDescent="0.2">
      <c r="A815" t="str">
        <f t="shared" si="12"/>
        <v>return_code_2764</v>
      </c>
      <c r="B815" t="s">
        <v>4635</v>
      </c>
      <c r="C815" t="s">
        <v>4636</v>
      </c>
    </row>
    <row r="816" spans="1:3" x14ac:dyDescent="0.2">
      <c r="A816" t="str">
        <f t="shared" si="12"/>
        <v>return_code_2765</v>
      </c>
      <c r="B816" t="s">
        <v>4637</v>
      </c>
      <c r="C816" t="s">
        <v>4638</v>
      </c>
    </row>
    <row r="817" spans="1:3" x14ac:dyDescent="0.2">
      <c r="A817" t="str">
        <f t="shared" si="12"/>
        <v>return_code_2766</v>
      </c>
      <c r="B817" t="s">
        <v>4639</v>
      </c>
      <c r="C817" t="s">
        <v>4640</v>
      </c>
    </row>
    <row r="818" spans="1:3" x14ac:dyDescent="0.2">
      <c r="A818" t="str">
        <f t="shared" si="12"/>
        <v>return_code_2767</v>
      </c>
      <c r="B818" t="s">
        <v>4641</v>
      </c>
      <c r="C818" t="s">
        <v>4642</v>
      </c>
    </row>
    <row r="819" spans="1:3" x14ac:dyDescent="0.2">
      <c r="A819" t="str">
        <f t="shared" si="12"/>
        <v>return_code_2768</v>
      </c>
      <c r="B819" t="s">
        <v>4643</v>
      </c>
      <c r="C819" t="s">
        <v>4644</v>
      </c>
    </row>
    <row r="820" spans="1:3" x14ac:dyDescent="0.2">
      <c r="A820" t="str">
        <f t="shared" si="12"/>
        <v>return_code_2769</v>
      </c>
      <c r="B820" t="s">
        <v>4645</v>
      </c>
      <c r="C820" t="s">
        <v>4646</v>
      </c>
    </row>
    <row r="821" spans="1:3" x14ac:dyDescent="0.2">
      <c r="A821" t="str">
        <f t="shared" si="12"/>
        <v>return_code_2770</v>
      </c>
      <c r="B821" t="s">
        <v>4647</v>
      </c>
      <c r="C821" t="s">
        <v>4648</v>
      </c>
    </row>
    <row r="822" spans="1:3" x14ac:dyDescent="0.2">
      <c r="A822" t="str">
        <f t="shared" si="12"/>
        <v>return_code_2771</v>
      </c>
      <c r="B822" t="s">
        <v>4649</v>
      </c>
      <c r="C822" t="s">
        <v>4650</v>
      </c>
    </row>
    <row r="823" spans="1:3" x14ac:dyDescent="0.2">
      <c r="A823" t="str">
        <f t="shared" si="12"/>
        <v>return_code_2772</v>
      </c>
      <c r="B823" t="s">
        <v>4651</v>
      </c>
      <c r="C823" t="s">
        <v>4652</v>
      </c>
    </row>
    <row r="824" spans="1:3" x14ac:dyDescent="0.2">
      <c r="A824" t="str">
        <f t="shared" si="12"/>
        <v>return_code_2773</v>
      </c>
      <c r="B824" t="s">
        <v>4653</v>
      </c>
      <c r="C824" t="s">
        <v>4654</v>
      </c>
    </row>
    <row r="825" spans="1:3" x14ac:dyDescent="0.2">
      <c r="A825" t="str">
        <f t="shared" si="12"/>
        <v>return_code_2774</v>
      </c>
      <c r="B825" t="s">
        <v>4655</v>
      </c>
      <c r="C825" t="s">
        <v>4656</v>
      </c>
    </row>
    <row r="826" spans="1:3" x14ac:dyDescent="0.2">
      <c r="A826" t="str">
        <f t="shared" si="12"/>
        <v>return_code_2775</v>
      </c>
      <c r="B826" t="s">
        <v>4657</v>
      </c>
      <c r="C826" t="s">
        <v>4658</v>
      </c>
    </row>
    <row r="827" spans="1:3" x14ac:dyDescent="0.2">
      <c r="A827" t="str">
        <f t="shared" si="12"/>
        <v>return_code_2776</v>
      </c>
      <c r="B827" t="s">
        <v>4659</v>
      </c>
      <c r="C827" t="s">
        <v>4660</v>
      </c>
    </row>
    <row r="828" spans="1:3" x14ac:dyDescent="0.2">
      <c r="A828" t="str">
        <f t="shared" si="12"/>
        <v>return_code_2777</v>
      </c>
      <c r="B828" t="s">
        <v>4661</v>
      </c>
      <c r="C828" t="s">
        <v>4662</v>
      </c>
    </row>
    <row r="829" spans="1:3" x14ac:dyDescent="0.2">
      <c r="A829" t="str">
        <f t="shared" si="12"/>
        <v>return_code_2778</v>
      </c>
      <c r="B829" t="s">
        <v>4663</v>
      </c>
      <c r="C829" t="s">
        <v>4664</v>
      </c>
    </row>
    <row r="830" spans="1:3" x14ac:dyDescent="0.2">
      <c r="A830" t="str">
        <f t="shared" si="12"/>
        <v>return_code_2779</v>
      </c>
      <c r="B830" t="s">
        <v>4665</v>
      </c>
      <c r="C830" t="s">
        <v>4666</v>
      </c>
    </row>
    <row r="831" spans="1:3" x14ac:dyDescent="0.2">
      <c r="A831" t="str">
        <f t="shared" si="12"/>
        <v>return_code_2780</v>
      </c>
      <c r="B831" t="s">
        <v>4667</v>
      </c>
      <c r="C831" t="s">
        <v>4668</v>
      </c>
    </row>
    <row r="832" spans="1:3" x14ac:dyDescent="0.2">
      <c r="A832" t="str">
        <f t="shared" si="12"/>
        <v>return_code_2781</v>
      </c>
      <c r="B832" t="s">
        <v>4669</v>
      </c>
      <c r="C832" t="s">
        <v>4670</v>
      </c>
    </row>
    <row r="833" spans="1:3" x14ac:dyDescent="0.2">
      <c r="A833" t="str">
        <f t="shared" ref="A833:A896" si="13">CONCATENATE("return_code_",B833)</f>
        <v>return_code_2782</v>
      </c>
      <c r="B833" t="s">
        <v>4671</v>
      </c>
      <c r="C833" t="s">
        <v>4672</v>
      </c>
    </row>
    <row r="834" spans="1:3" x14ac:dyDescent="0.2">
      <c r="A834" t="str">
        <f t="shared" si="13"/>
        <v>return_code_2783</v>
      </c>
      <c r="B834" t="s">
        <v>4673</v>
      </c>
      <c r="C834" t="s">
        <v>4674</v>
      </c>
    </row>
    <row r="835" spans="1:3" x14ac:dyDescent="0.2">
      <c r="A835" t="str">
        <f t="shared" si="13"/>
        <v>return_code_2784</v>
      </c>
      <c r="B835" t="s">
        <v>4675</v>
      </c>
      <c r="C835" t="s">
        <v>4676</v>
      </c>
    </row>
    <row r="836" spans="1:3" x14ac:dyDescent="0.2">
      <c r="A836" t="str">
        <f t="shared" si="13"/>
        <v>return_code_2785</v>
      </c>
      <c r="B836" t="s">
        <v>4677</v>
      </c>
      <c r="C836" t="s">
        <v>4678</v>
      </c>
    </row>
    <row r="837" spans="1:3" x14ac:dyDescent="0.2">
      <c r="A837" t="str">
        <f t="shared" si="13"/>
        <v>return_code_2786</v>
      </c>
      <c r="B837" t="s">
        <v>4679</v>
      </c>
      <c r="C837" t="s">
        <v>4680</v>
      </c>
    </row>
    <row r="838" spans="1:3" x14ac:dyDescent="0.2">
      <c r="A838" t="str">
        <f t="shared" si="13"/>
        <v>return_code_2787</v>
      </c>
      <c r="B838" t="s">
        <v>4681</v>
      </c>
      <c r="C838" t="s">
        <v>4682</v>
      </c>
    </row>
    <row r="839" spans="1:3" x14ac:dyDescent="0.2">
      <c r="A839" t="str">
        <f t="shared" si="13"/>
        <v>return_code_2788</v>
      </c>
      <c r="B839" t="s">
        <v>4683</v>
      </c>
      <c r="C839" t="s">
        <v>4684</v>
      </c>
    </row>
    <row r="840" spans="1:3" x14ac:dyDescent="0.2">
      <c r="A840" t="str">
        <f t="shared" si="13"/>
        <v>return_code_2789</v>
      </c>
      <c r="B840" t="s">
        <v>4685</v>
      </c>
      <c r="C840" t="s">
        <v>4686</v>
      </c>
    </row>
    <row r="841" spans="1:3" x14ac:dyDescent="0.2">
      <c r="A841" t="str">
        <f t="shared" si="13"/>
        <v>return_code_2790</v>
      </c>
      <c r="B841" t="s">
        <v>2674</v>
      </c>
      <c r="C841" t="s">
        <v>4687</v>
      </c>
    </row>
    <row r="842" spans="1:3" x14ac:dyDescent="0.2">
      <c r="A842" t="str">
        <f t="shared" si="13"/>
        <v>return_code_2791</v>
      </c>
      <c r="B842" t="s">
        <v>4688</v>
      </c>
      <c r="C842" t="s">
        <v>4689</v>
      </c>
    </row>
    <row r="843" spans="1:3" x14ac:dyDescent="0.2">
      <c r="A843" t="str">
        <f t="shared" si="13"/>
        <v>return_code_2792</v>
      </c>
      <c r="B843" t="s">
        <v>4690</v>
      </c>
      <c r="C843" t="s">
        <v>4691</v>
      </c>
    </row>
    <row r="844" spans="1:3" x14ac:dyDescent="0.2">
      <c r="A844" t="str">
        <f t="shared" si="13"/>
        <v>return_code_2793</v>
      </c>
      <c r="B844" t="s">
        <v>4692</v>
      </c>
      <c r="C844" t="s">
        <v>4693</v>
      </c>
    </row>
    <row r="845" spans="1:3" x14ac:dyDescent="0.2">
      <c r="A845" t="str">
        <f t="shared" si="13"/>
        <v>return_code_2794</v>
      </c>
      <c r="B845" t="s">
        <v>4694</v>
      </c>
      <c r="C845" t="s">
        <v>4695</v>
      </c>
    </row>
    <row r="846" spans="1:3" x14ac:dyDescent="0.2">
      <c r="A846" t="str">
        <f t="shared" si="13"/>
        <v>return_code_2795</v>
      </c>
      <c r="B846" t="s">
        <v>4696</v>
      </c>
      <c r="C846" t="s">
        <v>4697</v>
      </c>
    </row>
    <row r="847" spans="1:3" x14ac:dyDescent="0.2">
      <c r="A847" t="str">
        <f t="shared" si="13"/>
        <v>return_code_2796</v>
      </c>
      <c r="B847" t="s">
        <v>4698</v>
      </c>
      <c r="C847" t="s">
        <v>4699</v>
      </c>
    </row>
    <row r="848" spans="1:3" x14ac:dyDescent="0.2">
      <c r="A848" t="str">
        <f t="shared" si="13"/>
        <v>return_code_2797</v>
      </c>
      <c r="B848" t="s">
        <v>4700</v>
      </c>
      <c r="C848" t="s">
        <v>4701</v>
      </c>
    </row>
    <row r="849" spans="1:3" x14ac:dyDescent="0.2">
      <c r="A849" t="str">
        <f t="shared" si="13"/>
        <v>return_code_2798</v>
      </c>
      <c r="B849" t="s">
        <v>4702</v>
      </c>
      <c r="C849" t="s">
        <v>4703</v>
      </c>
    </row>
    <row r="850" spans="1:3" x14ac:dyDescent="0.2">
      <c r="A850" t="str">
        <f t="shared" si="13"/>
        <v>return_code_2799</v>
      </c>
      <c r="B850" t="s">
        <v>4704</v>
      </c>
      <c r="C850" t="s">
        <v>4705</v>
      </c>
    </row>
    <row r="851" spans="1:3" x14ac:dyDescent="0.2">
      <c r="A851" t="str">
        <f t="shared" si="13"/>
        <v>return_code_2800</v>
      </c>
      <c r="B851" t="s">
        <v>4706</v>
      </c>
      <c r="C851" t="s">
        <v>4707</v>
      </c>
    </row>
    <row r="852" spans="1:3" x14ac:dyDescent="0.2">
      <c r="A852" t="str">
        <f t="shared" si="13"/>
        <v>return_code_2801</v>
      </c>
      <c r="B852" t="s">
        <v>4708</v>
      </c>
      <c r="C852" t="s">
        <v>4709</v>
      </c>
    </row>
    <row r="853" spans="1:3" x14ac:dyDescent="0.2">
      <c r="A853" t="str">
        <f t="shared" si="13"/>
        <v>return_code_2802</v>
      </c>
      <c r="B853" t="s">
        <v>4710</v>
      </c>
      <c r="C853" t="s">
        <v>4711</v>
      </c>
    </row>
    <row r="854" spans="1:3" x14ac:dyDescent="0.2">
      <c r="A854" t="str">
        <f t="shared" si="13"/>
        <v>return_code_2803</v>
      </c>
      <c r="B854" t="s">
        <v>4712</v>
      </c>
      <c r="C854" t="s">
        <v>4713</v>
      </c>
    </row>
    <row r="855" spans="1:3" x14ac:dyDescent="0.2">
      <c r="A855" t="str">
        <f t="shared" si="13"/>
        <v>return_code_2804</v>
      </c>
      <c r="B855" t="s">
        <v>4714</v>
      </c>
      <c r="C855" t="s">
        <v>4715</v>
      </c>
    </row>
    <row r="856" spans="1:3" x14ac:dyDescent="0.2">
      <c r="A856" t="str">
        <f t="shared" si="13"/>
        <v>return_code_2805</v>
      </c>
      <c r="B856" t="s">
        <v>4716</v>
      </c>
      <c r="C856" t="s">
        <v>4717</v>
      </c>
    </row>
    <row r="857" spans="1:3" x14ac:dyDescent="0.2">
      <c r="A857" t="str">
        <f t="shared" si="13"/>
        <v>return_code_2806</v>
      </c>
      <c r="B857" t="s">
        <v>4718</v>
      </c>
      <c r="C857" t="s">
        <v>4719</v>
      </c>
    </row>
    <row r="858" spans="1:3" x14ac:dyDescent="0.2">
      <c r="A858" t="str">
        <f t="shared" si="13"/>
        <v>return_code_2807</v>
      </c>
      <c r="B858" t="s">
        <v>4720</v>
      </c>
      <c r="C858" t="s">
        <v>4721</v>
      </c>
    </row>
    <row r="859" spans="1:3" x14ac:dyDescent="0.2">
      <c r="A859" t="str">
        <f t="shared" si="13"/>
        <v>return_code_2808</v>
      </c>
      <c r="B859" t="s">
        <v>4722</v>
      </c>
      <c r="C859" t="s">
        <v>4723</v>
      </c>
    </row>
    <row r="860" spans="1:3" x14ac:dyDescent="0.2">
      <c r="A860" t="str">
        <f t="shared" si="13"/>
        <v>return_code_2809</v>
      </c>
      <c r="B860" t="s">
        <v>4724</v>
      </c>
      <c r="C860" t="s">
        <v>4725</v>
      </c>
    </row>
    <row r="861" spans="1:3" x14ac:dyDescent="0.2">
      <c r="A861" t="str">
        <f t="shared" si="13"/>
        <v>return_code_2810</v>
      </c>
      <c r="B861" t="s">
        <v>4726</v>
      </c>
      <c r="C861" t="s">
        <v>4727</v>
      </c>
    </row>
    <row r="862" spans="1:3" x14ac:dyDescent="0.2">
      <c r="A862" t="str">
        <f t="shared" si="13"/>
        <v>return_code_2811</v>
      </c>
      <c r="B862" t="s">
        <v>2676</v>
      </c>
      <c r="C862" t="s">
        <v>4728</v>
      </c>
    </row>
    <row r="863" spans="1:3" x14ac:dyDescent="0.2">
      <c r="A863" t="str">
        <f t="shared" si="13"/>
        <v>return_code_2812</v>
      </c>
      <c r="B863" t="s">
        <v>2678</v>
      </c>
      <c r="C863" t="s">
        <v>4729</v>
      </c>
    </row>
    <row r="864" spans="1:3" x14ac:dyDescent="0.2">
      <c r="A864" t="str">
        <f t="shared" si="13"/>
        <v>return_code_2813</v>
      </c>
      <c r="B864" t="s">
        <v>2680</v>
      </c>
      <c r="C864" t="s">
        <v>4730</v>
      </c>
    </row>
    <row r="865" spans="1:3" x14ac:dyDescent="0.2">
      <c r="A865" t="str">
        <f t="shared" si="13"/>
        <v>return_code_2814</v>
      </c>
      <c r="B865" t="s">
        <v>2682</v>
      </c>
      <c r="C865" t="s">
        <v>4731</v>
      </c>
    </row>
    <row r="866" spans="1:3" x14ac:dyDescent="0.2">
      <c r="A866" t="str">
        <f t="shared" si="13"/>
        <v>return_code_2816</v>
      </c>
      <c r="B866" t="s">
        <v>2686</v>
      </c>
      <c r="C866" t="s">
        <v>4732</v>
      </c>
    </row>
    <row r="867" spans="1:3" x14ac:dyDescent="0.2">
      <c r="A867" t="str">
        <f t="shared" si="13"/>
        <v>return_code_2817</v>
      </c>
      <c r="B867" t="s">
        <v>2688</v>
      </c>
      <c r="C867" t="s">
        <v>4733</v>
      </c>
    </row>
    <row r="868" spans="1:3" x14ac:dyDescent="0.2">
      <c r="A868" t="str">
        <f t="shared" si="13"/>
        <v>return_code_2818</v>
      </c>
      <c r="B868" t="s">
        <v>2690</v>
      </c>
      <c r="C868" t="s">
        <v>4734</v>
      </c>
    </row>
    <row r="869" spans="1:3" x14ac:dyDescent="0.2">
      <c r="A869" t="str">
        <f t="shared" si="13"/>
        <v>return_code_2819</v>
      </c>
      <c r="B869" t="s">
        <v>2692</v>
      </c>
      <c r="C869" t="s">
        <v>4735</v>
      </c>
    </row>
    <row r="870" spans="1:3" x14ac:dyDescent="0.2">
      <c r="A870" t="str">
        <f t="shared" si="13"/>
        <v>return_code_2820</v>
      </c>
      <c r="B870" t="s">
        <v>4736</v>
      </c>
      <c r="C870" t="s">
        <v>4737</v>
      </c>
    </row>
    <row r="871" spans="1:3" x14ac:dyDescent="0.2">
      <c r="A871" t="str">
        <f t="shared" si="13"/>
        <v>return_code_2821</v>
      </c>
      <c r="B871" t="s">
        <v>2694</v>
      </c>
      <c r="C871" t="s">
        <v>4738</v>
      </c>
    </row>
    <row r="872" spans="1:3" x14ac:dyDescent="0.2">
      <c r="A872" t="str">
        <f t="shared" si="13"/>
        <v>return_code_2822</v>
      </c>
      <c r="B872" t="s">
        <v>2696</v>
      </c>
      <c r="C872" t="s">
        <v>4739</v>
      </c>
    </row>
    <row r="873" spans="1:3" x14ac:dyDescent="0.2">
      <c r="A873" t="str">
        <f t="shared" si="13"/>
        <v>return_code_2823</v>
      </c>
      <c r="B873" t="s">
        <v>2698</v>
      </c>
      <c r="C873" t="s">
        <v>4740</v>
      </c>
    </row>
    <row r="874" spans="1:3" x14ac:dyDescent="0.2">
      <c r="A874" t="str">
        <f t="shared" si="13"/>
        <v>return_code_2824</v>
      </c>
      <c r="B874" t="s">
        <v>2700</v>
      </c>
      <c r="C874" t="s">
        <v>4741</v>
      </c>
    </row>
    <row r="875" spans="1:3" x14ac:dyDescent="0.2">
      <c r="A875" t="str">
        <f t="shared" si="13"/>
        <v>return_code_2825</v>
      </c>
      <c r="B875" t="s">
        <v>2702</v>
      </c>
      <c r="C875" t="s">
        <v>4742</v>
      </c>
    </row>
    <row r="876" spans="1:3" x14ac:dyDescent="0.2">
      <c r="A876" t="str">
        <f t="shared" si="13"/>
        <v>return_code_2826</v>
      </c>
      <c r="B876" t="s">
        <v>2704</v>
      </c>
      <c r="C876" t="s">
        <v>4743</v>
      </c>
    </row>
    <row r="877" spans="1:3" x14ac:dyDescent="0.2">
      <c r="A877" t="str">
        <f t="shared" si="13"/>
        <v>return_code_2827</v>
      </c>
      <c r="B877" t="s">
        <v>4744</v>
      </c>
      <c r="C877" t="s">
        <v>4745</v>
      </c>
    </row>
    <row r="878" spans="1:3" x14ac:dyDescent="0.2">
      <c r="A878" t="str">
        <f t="shared" si="13"/>
        <v>return_code_2828</v>
      </c>
      <c r="B878" t="s">
        <v>4746</v>
      </c>
      <c r="C878" t="s">
        <v>4747</v>
      </c>
    </row>
    <row r="879" spans="1:3" x14ac:dyDescent="0.2">
      <c r="A879" t="str">
        <f t="shared" si="13"/>
        <v>return_code_2829</v>
      </c>
      <c r="B879" t="s">
        <v>2706</v>
      </c>
      <c r="C879" t="s">
        <v>4748</v>
      </c>
    </row>
    <row r="880" spans="1:3" x14ac:dyDescent="0.2">
      <c r="A880" t="str">
        <f t="shared" si="13"/>
        <v>return_code_2830</v>
      </c>
      <c r="B880" t="s">
        <v>4749</v>
      </c>
      <c r="C880" t="s">
        <v>4750</v>
      </c>
    </row>
    <row r="881" spans="1:3" x14ac:dyDescent="0.2">
      <c r="A881" t="str">
        <f t="shared" si="13"/>
        <v>return_code_2831</v>
      </c>
      <c r="B881" t="s">
        <v>4751</v>
      </c>
      <c r="C881" t="s">
        <v>4752</v>
      </c>
    </row>
    <row r="882" spans="1:3" x14ac:dyDescent="0.2">
      <c r="A882" t="str">
        <f t="shared" si="13"/>
        <v>return_code_2832</v>
      </c>
      <c r="B882" t="s">
        <v>4753</v>
      </c>
      <c r="C882" t="s">
        <v>4754</v>
      </c>
    </row>
    <row r="883" spans="1:3" x14ac:dyDescent="0.2">
      <c r="A883" t="str">
        <f t="shared" si="13"/>
        <v>return_code_2833</v>
      </c>
      <c r="B883" t="s">
        <v>4755</v>
      </c>
      <c r="C883" t="s">
        <v>4756</v>
      </c>
    </row>
    <row r="884" spans="1:3" x14ac:dyDescent="0.2">
      <c r="A884" t="str">
        <f t="shared" si="13"/>
        <v>return_code_2834</v>
      </c>
      <c r="B884" t="s">
        <v>4757</v>
      </c>
      <c r="C884" t="s">
        <v>4758</v>
      </c>
    </row>
    <row r="885" spans="1:3" x14ac:dyDescent="0.2">
      <c r="A885" t="str">
        <f t="shared" si="13"/>
        <v>return_code_2835</v>
      </c>
      <c r="B885" t="s">
        <v>4759</v>
      </c>
      <c r="C885" t="s">
        <v>4760</v>
      </c>
    </row>
    <row r="886" spans="1:3" x14ac:dyDescent="0.2">
      <c r="A886" t="str">
        <f t="shared" si="13"/>
        <v>return_code_2836</v>
      </c>
      <c r="B886" t="s">
        <v>4761</v>
      </c>
      <c r="C886" t="s">
        <v>4762</v>
      </c>
    </row>
    <row r="887" spans="1:3" x14ac:dyDescent="0.2">
      <c r="A887" t="str">
        <f t="shared" si="13"/>
        <v>return_code_2837</v>
      </c>
      <c r="B887" t="s">
        <v>4763</v>
      </c>
      <c r="C887" t="s">
        <v>4764</v>
      </c>
    </row>
    <row r="888" spans="1:3" x14ac:dyDescent="0.2">
      <c r="A888" t="str">
        <f t="shared" si="13"/>
        <v>return_code_2838</v>
      </c>
      <c r="B888" t="s">
        <v>4765</v>
      </c>
      <c r="C888" t="s">
        <v>4766</v>
      </c>
    </row>
    <row r="889" spans="1:3" x14ac:dyDescent="0.2">
      <c r="A889" t="str">
        <f t="shared" si="13"/>
        <v>return_code_2839</v>
      </c>
      <c r="B889" t="s">
        <v>4767</v>
      </c>
      <c r="C889" t="s">
        <v>4768</v>
      </c>
    </row>
    <row r="890" spans="1:3" x14ac:dyDescent="0.2">
      <c r="A890" t="str">
        <f t="shared" si="13"/>
        <v>return_code_2840</v>
      </c>
      <c r="B890" t="s">
        <v>4769</v>
      </c>
      <c r="C890" t="s">
        <v>4770</v>
      </c>
    </row>
    <row r="891" spans="1:3" x14ac:dyDescent="0.2">
      <c r="A891" t="str">
        <f t="shared" si="13"/>
        <v>return_code_2841</v>
      </c>
      <c r="B891" t="s">
        <v>4771</v>
      </c>
      <c r="C891" t="s">
        <v>4772</v>
      </c>
    </row>
    <row r="892" spans="1:3" x14ac:dyDescent="0.2">
      <c r="A892" t="str">
        <f t="shared" si="13"/>
        <v>return_code_2842</v>
      </c>
      <c r="B892" t="s">
        <v>4773</v>
      </c>
      <c r="C892" t="s">
        <v>4774</v>
      </c>
    </row>
    <row r="893" spans="1:3" x14ac:dyDescent="0.2">
      <c r="A893" t="str">
        <f t="shared" si="13"/>
        <v>return_code_2843</v>
      </c>
      <c r="B893" t="s">
        <v>4775</v>
      </c>
      <c r="C893" t="s">
        <v>4776</v>
      </c>
    </row>
    <row r="894" spans="1:3" x14ac:dyDescent="0.2">
      <c r="A894" t="str">
        <f t="shared" si="13"/>
        <v>return_code_2844</v>
      </c>
      <c r="B894" t="s">
        <v>4777</v>
      </c>
      <c r="C894" t="s">
        <v>4778</v>
      </c>
    </row>
    <row r="895" spans="1:3" x14ac:dyDescent="0.2">
      <c r="A895" t="str">
        <f t="shared" si="13"/>
        <v>return_code_2845</v>
      </c>
      <c r="B895" t="s">
        <v>4779</v>
      </c>
      <c r="C895" t="s">
        <v>4780</v>
      </c>
    </row>
    <row r="896" spans="1:3" x14ac:dyDescent="0.2">
      <c r="A896" t="str">
        <f t="shared" si="13"/>
        <v>return_code_2846</v>
      </c>
      <c r="B896" t="s">
        <v>4781</v>
      </c>
      <c r="C896" t="s">
        <v>4782</v>
      </c>
    </row>
    <row r="897" spans="1:3" x14ac:dyDescent="0.2">
      <c r="A897" t="str">
        <f t="shared" ref="A897:A960" si="14">CONCATENATE("return_code_",B897)</f>
        <v>return_code_2848</v>
      </c>
      <c r="B897" t="s">
        <v>4783</v>
      </c>
      <c r="C897" t="s">
        <v>4784</v>
      </c>
    </row>
    <row r="898" spans="1:3" x14ac:dyDescent="0.2">
      <c r="A898" t="str">
        <f t="shared" si="14"/>
        <v>return_code_2849</v>
      </c>
      <c r="B898" t="s">
        <v>4785</v>
      </c>
      <c r="C898" t="s">
        <v>4786</v>
      </c>
    </row>
    <row r="899" spans="1:3" x14ac:dyDescent="0.2">
      <c r="A899" t="str">
        <f t="shared" si="14"/>
        <v>return_code_2851</v>
      </c>
      <c r="B899" t="s">
        <v>4787</v>
      </c>
      <c r="C899" t="s">
        <v>4788</v>
      </c>
    </row>
    <row r="900" spans="1:3" x14ac:dyDescent="0.2">
      <c r="A900" t="str">
        <f t="shared" si="14"/>
        <v>return_code_2852</v>
      </c>
      <c r="B900" t="s">
        <v>4789</v>
      </c>
      <c r="C900" t="s">
        <v>4790</v>
      </c>
    </row>
    <row r="901" spans="1:3" x14ac:dyDescent="0.2">
      <c r="A901" t="str">
        <f t="shared" si="14"/>
        <v>return_code_2853</v>
      </c>
      <c r="B901" t="s">
        <v>4791</v>
      </c>
      <c r="C901" t="s">
        <v>4792</v>
      </c>
    </row>
    <row r="902" spans="1:3" x14ac:dyDescent="0.2">
      <c r="A902" t="str">
        <f t="shared" si="14"/>
        <v>return_code_2854</v>
      </c>
      <c r="B902" t="s">
        <v>4793</v>
      </c>
      <c r="C902" t="s">
        <v>4794</v>
      </c>
    </row>
    <row r="903" spans="1:3" x14ac:dyDescent="0.2">
      <c r="A903" t="str">
        <f t="shared" si="14"/>
        <v>return_code_2855</v>
      </c>
      <c r="B903" t="s">
        <v>4795</v>
      </c>
      <c r="C903" t="s">
        <v>4796</v>
      </c>
    </row>
    <row r="904" spans="1:3" x14ac:dyDescent="0.2">
      <c r="A904" t="str">
        <f t="shared" si="14"/>
        <v>return_code_2856</v>
      </c>
      <c r="B904" t="s">
        <v>4797</v>
      </c>
      <c r="C904" t="s">
        <v>4798</v>
      </c>
    </row>
    <row r="905" spans="1:3" x14ac:dyDescent="0.2">
      <c r="A905" t="str">
        <f t="shared" si="14"/>
        <v>return_code_2857</v>
      </c>
      <c r="B905" t="s">
        <v>4799</v>
      </c>
      <c r="C905" t="s">
        <v>4800</v>
      </c>
    </row>
    <row r="906" spans="1:3" x14ac:dyDescent="0.2">
      <c r="A906" t="str">
        <f t="shared" si="14"/>
        <v>return_code_2858</v>
      </c>
      <c r="B906" t="s">
        <v>4801</v>
      </c>
      <c r="C906" t="s">
        <v>4802</v>
      </c>
    </row>
    <row r="907" spans="1:3" x14ac:dyDescent="0.2">
      <c r="A907" t="str">
        <f t="shared" si="14"/>
        <v>return_code_2859</v>
      </c>
      <c r="B907" t="s">
        <v>4803</v>
      </c>
      <c r="C907" t="s">
        <v>4804</v>
      </c>
    </row>
    <row r="908" spans="1:3" x14ac:dyDescent="0.2">
      <c r="A908" t="str">
        <f t="shared" si="14"/>
        <v>return_code_2860</v>
      </c>
      <c r="B908" t="s">
        <v>4805</v>
      </c>
      <c r="C908" t="s">
        <v>4806</v>
      </c>
    </row>
    <row r="909" spans="1:3" x14ac:dyDescent="0.2">
      <c r="A909" t="str">
        <f t="shared" si="14"/>
        <v>return_code_2861</v>
      </c>
      <c r="B909" t="s">
        <v>4807</v>
      </c>
      <c r="C909" t="s">
        <v>4808</v>
      </c>
    </row>
    <row r="910" spans="1:3" x14ac:dyDescent="0.2">
      <c r="A910" t="str">
        <f t="shared" si="14"/>
        <v>return_code_2862</v>
      </c>
      <c r="B910" t="s">
        <v>4809</v>
      </c>
      <c r="C910" t="s">
        <v>4810</v>
      </c>
    </row>
    <row r="911" spans="1:3" x14ac:dyDescent="0.2">
      <c r="A911" t="str">
        <f t="shared" si="14"/>
        <v>return_code_2863</v>
      </c>
      <c r="B911" t="s">
        <v>4811</v>
      </c>
      <c r="C911" t="s">
        <v>4812</v>
      </c>
    </row>
    <row r="912" spans="1:3" x14ac:dyDescent="0.2">
      <c r="A912" t="str">
        <f t="shared" si="14"/>
        <v>return_code_2864</v>
      </c>
      <c r="B912" t="s">
        <v>4813</v>
      </c>
      <c r="C912" t="s">
        <v>4814</v>
      </c>
    </row>
    <row r="913" spans="1:3" x14ac:dyDescent="0.2">
      <c r="A913" t="str">
        <f t="shared" si="14"/>
        <v>return_code_2865</v>
      </c>
      <c r="B913" t="s">
        <v>4815</v>
      </c>
      <c r="C913" t="s">
        <v>4816</v>
      </c>
    </row>
    <row r="914" spans="1:3" x14ac:dyDescent="0.2">
      <c r="A914" t="str">
        <f t="shared" si="14"/>
        <v>return_code_2866</v>
      </c>
      <c r="B914" t="s">
        <v>4817</v>
      </c>
      <c r="C914" t="s">
        <v>4818</v>
      </c>
    </row>
    <row r="915" spans="1:3" x14ac:dyDescent="0.2">
      <c r="A915" t="str">
        <f t="shared" si="14"/>
        <v>return_code_2867</v>
      </c>
      <c r="B915" t="s">
        <v>4819</v>
      </c>
      <c r="C915" t="s">
        <v>4820</v>
      </c>
    </row>
    <row r="916" spans="1:3" x14ac:dyDescent="0.2">
      <c r="A916" t="str">
        <f t="shared" si="14"/>
        <v>return_code_2868</v>
      </c>
      <c r="B916" t="s">
        <v>4821</v>
      </c>
      <c r="C916" t="s">
        <v>4822</v>
      </c>
    </row>
    <row r="917" spans="1:3" x14ac:dyDescent="0.2">
      <c r="A917" t="str">
        <f t="shared" si="14"/>
        <v>return_code_2869</v>
      </c>
      <c r="B917" t="s">
        <v>4823</v>
      </c>
      <c r="C917" t="s">
        <v>4824</v>
      </c>
    </row>
    <row r="918" spans="1:3" x14ac:dyDescent="0.2">
      <c r="A918" t="str">
        <f t="shared" si="14"/>
        <v>return_code_2870</v>
      </c>
      <c r="B918" t="s">
        <v>4825</v>
      </c>
      <c r="C918" t="s">
        <v>4826</v>
      </c>
    </row>
    <row r="919" spans="1:3" x14ac:dyDescent="0.2">
      <c r="A919" t="str">
        <f t="shared" si="14"/>
        <v>return_code_2871</v>
      </c>
      <c r="B919" t="s">
        <v>4827</v>
      </c>
      <c r="C919" t="s">
        <v>4828</v>
      </c>
    </row>
    <row r="920" spans="1:3" x14ac:dyDescent="0.2">
      <c r="A920" t="str">
        <f t="shared" si="14"/>
        <v>return_code_2872</v>
      </c>
      <c r="B920" t="s">
        <v>4829</v>
      </c>
      <c r="C920" t="s">
        <v>4830</v>
      </c>
    </row>
    <row r="921" spans="1:3" x14ac:dyDescent="0.2">
      <c r="A921" t="str">
        <f t="shared" si="14"/>
        <v>return_code_2873</v>
      </c>
      <c r="B921" t="s">
        <v>4831</v>
      </c>
      <c r="C921" t="s">
        <v>4832</v>
      </c>
    </row>
    <row r="922" spans="1:3" x14ac:dyDescent="0.2">
      <c r="A922" t="str">
        <f t="shared" si="14"/>
        <v>return_code_2874</v>
      </c>
      <c r="B922" t="s">
        <v>4833</v>
      </c>
      <c r="C922" t="s">
        <v>4834</v>
      </c>
    </row>
    <row r="923" spans="1:3" x14ac:dyDescent="0.2">
      <c r="A923" t="str">
        <f t="shared" si="14"/>
        <v>return_code_2875</v>
      </c>
      <c r="B923" t="s">
        <v>4835</v>
      </c>
      <c r="C923" t="s">
        <v>4836</v>
      </c>
    </row>
    <row r="924" spans="1:3" x14ac:dyDescent="0.2">
      <c r="A924" t="str">
        <f t="shared" si="14"/>
        <v>return_code_2876</v>
      </c>
      <c r="B924" t="s">
        <v>4837</v>
      </c>
      <c r="C924" t="s">
        <v>4838</v>
      </c>
    </row>
    <row r="925" spans="1:3" x14ac:dyDescent="0.2">
      <c r="A925" t="str">
        <f t="shared" si="14"/>
        <v>return_code_2880</v>
      </c>
      <c r="B925" t="s">
        <v>4839</v>
      </c>
      <c r="C925" t="s">
        <v>4840</v>
      </c>
    </row>
    <row r="926" spans="1:3" x14ac:dyDescent="0.2">
      <c r="A926" t="str">
        <f t="shared" si="14"/>
        <v>return_code_2881</v>
      </c>
      <c r="B926" t="s">
        <v>4841</v>
      </c>
      <c r="C926" t="s">
        <v>4842</v>
      </c>
    </row>
    <row r="927" spans="1:3" x14ac:dyDescent="0.2">
      <c r="A927" t="str">
        <f t="shared" si="14"/>
        <v>return_code_2883</v>
      </c>
      <c r="B927" t="s">
        <v>4843</v>
      </c>
      <c r="C927" t="s">
        <v>4844</v>
      </c>
    </row>
    <row r="928" spans="1:3" x14ac:dyDescent="0.2">
      <c r="A928" t="str">
        <f t="shared" si="14"/>
        <v>return_code_2891</v>
      </c>
      <c r="B928" t="s">
        <v>4845</v>
      </c>
      <c r="C928" t="s">
        <v>4846</v>
      </c>
    </row>
    <row r="929" spans="1:3" x14ac:dyDescent="0.2">
      <c r="A929" t="str">
        <f t="shared" si="14"/>
        <v>return_code_2892</v>
      </c>
      <c r="B929" t="s">
        <v>4847</v>
      </c>
      <c r="C929" t="s">
        <v>4848</v>
      </c>
    </row>
    <row r="930" spans="1:3" x14ac:dyDescent="0.2">
      <c r="A930" t="str">
        <f t="shared" si="14"/>
        <v>return_code_2893</v>
      </c>
      <c r="B930" t="s">
        <v>4849</v>
      </c>
      <c r="C930" t="s">
        <v>4850</v>
      </c>
    </row>
    <row r="931" spans="1:3" x14ac:dyDescent="0.2">
      <c r="A931" t="str">
        <f t="shared" si="14"/>
        <v>return_code_2894</v>
      </c>
      <c r="B931" t="s">
        <v>4851</v>
      </c>
      <c r="C931" t="s">
        <v>4848</v>
      </c>
    </row>
    <row r="932" spans="1:3" x14ac:dyDescent="0.2">
      <c r="A932" t="str">
        <f t="shared" si="14"/>
        <v>return_code_2895</v>
      </c>
      <c r="B932" t="s">
        <v>4852</v>
      </c>
      <c r="C932" t="s">
        <v>4850</v>
      </c>
    </row>
    <row r="933" spans="1:3" x14ac:dyDescent="0.2">
      <c r="A933" t="str">
        <f t="shared" si="14"/>
        <v>return_code_2896</v>
      </c>
      <c r="B933" t="s">
        <v>4853</v>
      </c>
      <c r="C933" t="s">
        <v>4854</v>
      </c>
    </row>
    <row r="934" spans="1:3" x14ac:dyDescent="0.2">
      <c r="A934" t="str">
        <f t="shared" si="14"/>
        <v>return_code_2897</v>
      </c>
      <c r="B934" t="s">
        <v>4855</v>
      </c>
      <c r="C934" t="s">
        <v>4850</v>
      </c>
    </row>
    <row r="935" spans="1:3" x14ac:dyDescent="0.2">
      <c r="A935" t="str">
        <f t="shared" si="14"/>
        <v>return_code_2900</v>
      </c>
      <c r="B935" t="s">
        <v>4856</v>
      </c>
      <c r="C935" t="s">
        <v>4857</v>
      </c>
    </row>
    <row r="936" spans="1:3" x14ac:dyDescent="0.2">
      <c r="A936" t="str">
        <f t="shared" si="14"/>
        <v>return_code_2901</v>
      </c>
      <c r="B936" t="s">
        <v>4858</v>
      </c>
      <c r="C936" t="s">
        <v>4859</v>
      </c>
    </row>
    <row r="937" spans="1:3" x14ac:dyDescent="0.2">
      <c r="A937" t="str">
        <f t="shared" si="14"/>
        <v>return_code_2902</v>
      </c>
      <c r="B937" t="s">
        <v>4860</v>
      </c>
      <c r="C937" t="s">
        <v>4861</v>
      </c>
    </row>
    <row r="938" spans="1:3" x14ac:dyDescent="0.2">
      <c r="A938" t="str">
        <f t="shared" si="14"/>
        <v>return_code_2903</v>
      </c>
      <c r="B938" t="s">
        <v>4862</v>
      </c>
      <c r="C938" t="s">
        <v>4863</v>
      </c>
    </row>
    <row r="939" spans="1:3" x14ac:dyDescent="0.2">
      <c r="A939" t="str">
        <f t="shared" si="14"/>
        <v>return_code_2904</v>
      </c>
      <c r="B939" t="s">
        <v>4864</v>
      </c>
      <c r="C939" t="s">
        <v>4865</v>
      </c>
    </row>
    <row r="940" spans="1:3" x14ac:dyDescent="0.2">
      <c r="A940" t="str">
        <f t="shared" si="14"/>
        <v>return_code_2905</v>
      </c>
      <c r="B940" t="s">
        <v>4866</v>
      </c>
      <c r="C940" t="s">
        <v>4867</v>
      </c>
    </row>
    <row r="941" spans="1:3" x14ac:dyDescent="0.2">
      <c r="A941" t="str">
        <f t="shared" si="14"/>
        <v>return_code_2906</v>
      </c>
      <c r="B941" t="s">
        <v>4868</v>
      </c>
      <c r="C941" t="s">
        <v>4869</v>
      </c>
    </row>
    <row r="942" spans="1:3" x14ac:dyDescent="0.2">
      <c r="A942" t="str">
        <f t="shared" si="14"/>
        <v>return_code_2907</v>
      </c>
      <c r="B942" t="s">
        <v>4870</v>
      </c>
      <c r="C942" t="s">
        <v>4871</v>
      </c>
    </row>
    <row r="943" spans="1:3" x14ac:dyDescent="0.2">
      <c r="A943" t="str">
        <f t="shared" si="14"/>
        <v>return_code_2908</v>
      </c>
      <c r="B943" t="s">
        <v>4872</v>
      </c>
      <c r="C943" t="s">
        <v>4873</v>
      </c>
    </row>
    <row r="944" spans="1:3" x14ac:dyDescent="0.2">
      <c r="A944" t="str">
        <f t="shared" si="14"/>
        <v>return_code_2909</v>
      </c>
      <c r="B944" t="s">
        <v>4874</v>
      </c>
      <c r="C944" t="s">
        <v>4875</v>
      </c>
    </row>
    <row r="945" spans="1:3" x14ac:dyDescent="0.2">
      <c r="A945" t="str">
        <f t="shared" si="14"/>
        <v>return_code_2910</v>
      </c>
      <c r="B945" t="s">
        <v>2708</v>
      </c>
      <c r="C945" t="s">
        <v>4876</v>
      </c>
    </row>
    <row r="946" spans="1:3" x14ac:dyDescent="0.2">
      <c r="A946" t="str">
        <f t="shared" si="14"/>
        <v>return_code_2911</v>
      </c>
      <c r="B946" t="s">
        <v>4877</v>
      </c>
      <c r="C946" t="s">
        <v>4878</v>
      </c>
    </row>
    <row r="947" spans="1:3" x14ac:dyDescent="0.2">
      <c r="A947" t="str">
        <f t="shared" si="14"/>
        <v>return_code_2912</v>
      </c>
      <c r="B947" t="s">
        <v>4879</v>
      </c>
      <c r="C947" t="s">
        <v>4880</v>
      </c>
    </row>
    <row r="948" spans="1:3" x14ac:dyDescent="0.2">
      <c r="A948" t="str">
        <f t="shared" si="14"/>
        <v>return_code_2913</v>
      </c>
      <c r="B948" t="s">
        <v>4881</v>
      </c>
      <c r="C948" t="s">
        <v>4882</v>
      </c>
    </row>
    <row r="949" spans="1:3" x14ac:dyDescent="0.2">
      <c r="A949" t="str">
        <f t="shared" si="14"/>
        <v>return_code_2914</v>
      </c>
      <c r="B949" t="s">
        <v>4883</v>
      </c>
      <c r="C949" t="s">
        <v>4884</v>
      </c>
    </row>
    <row r="950" spans="1:3" x14ac:dyDescent="0.2">
      <c r="A950" t="str">
        <f t="shared" si="14"/>
        <v>return_code_2915</v>
      </c>
      <c r="B950" t="s">
        <v>4885</v>
      </c>
      <c r="C950" t="s">
        <v>4886</v>
      </c>
    </row>
    <row r="951" spans="1:3" x14ac:dyDescent="0.2">
      <c r="A951" t="str">
        <f t="shared" si="14"/>
        <v>return_code_2916</v>
      </c>
      <c r="B951" t="s">
        <v>4887</v>
      </c>
      <c r="C951" t="s">
        <v>4888</v>
      </c>
    </row>
    <row r="952" spans="1:3" x14ac:dyDescent="0.2">
      <c r="A952" t="str">
        <f t="shared" si="14"/>
        <v>return_code_2917</v>
      </c>
      <c r="B952" t="s">
        <v>4889</v>
      </c>
      <c r="C952" t="s">
        <v>4890</v>
      </c>
    </row>
    <row r="953" spans="1:3" x14ac:dyDescent="0.2">
      <c r="A953" t="str">
        <f t="shared" si="14"/>
        <v>return_code_2918</v>
      </c>
      <c r="B953" t="s">
        <v>4891</v>
      </c>
      <c r="C953" t="s">
        <v>4892</v>
      </c>
    </row>
    <row r="954" spans="1:3" x14ac:dyDescent="0.2">
      <c r="A954" t="str">
        <f t="shared" si="14"/>
        <v>return_code_2919</v>
      </c>
      <c r="B954" t="s">
        <v>4893</v>
      </c>
      <c r="C954" t="s">
        <v>4894</v>
      </c>
    </row>
    <row r="955" spans="1:3" x14ac:dyDescent="0.2">
      <c r="A955" t="str">
        <f t="shared" si="14"/>
        <v>return_code_2920</v>
      </c>
      <c r="B955" t="s">
        <v>2710</v>
      </c>
      <c r="C955" t="s">
        <v>4193</v>
      </c>
    </row>
    <row r="956" spans="1:3" x14ac:dyDescent="0.2">
      <c r="A956" t="str">
        <f t="shared" si="14"/>
        <v>return_code_2921</v>
      </c>
      <c r="B956" t="s">
        <v>4895</v>
      </c>
      <c r="C956" t="s">
        <v>4896</v>
      </c>
    </row>
    <row r="957" spans="1:3" x14ac:dyDescent="0.2">
      <c r="A957" t="str">
        <f t="shared" si="14"/>
        <v>return_code_2922</v>
      </c>
      <c r="B957" t="s">
        <v>4897</v>
      </c>
      <c r="C957" t="s">
        <v>4898</v>
      </c>
    </row>
    <row r="958" spans="1:3" x14ac:dyDescent="0.2">
      <c r="A958" t="str">
        <f t="shared" si="14"/>
        <v>return_code_2923</v>
      </c>
      <c r="B958" t="s">
        <v>4899</v>
      </c>
      <c r="C958" t="s">
        <v>4900</v>
      </c>
    </row>
    <row r="959" spans="1:3" x14ac:dyDescent="0.2">
      <c r="A959" t="str">
        <f t="shared" si="14"/>
        <v>return_code_2924</v>
      </c>
      <c r="B959" t="s">
        <v>4901</v>
      </c>
      <c r="C959" t="s">
        <v>4902</v>
      </c>
    </row>
    <row r="960" spans="1:3" x14ac:dyDescent="0.2">
      <c r="A960" t="str">
        <f t="shared" si="14"/>
        <v>return_code_2925</v>
      </c>
      <c r="B960" t="s">
        <v>4903</v>
      </c>
      <c r="C960" t="s">
        <v>4898</v>
      </c>
    </row>
    <row r="961" spans="1:3" x14ac:dyDescent="0.2">
      <c r="A961" t="str">
        <f t="shared" ref="A961:A1024" si="15">CONCATENATE("return_code_",B961)</f>
        <v>return_code_2926</v>
      </c>
      <c r="B961" t="s">
        <v>4904</v>
      </c>
      <c r="C961" t="s">
        <v>4905</v>
      </c>
    </row>
    <row r="962" spans="1:3" x14ac:dyDescent="0.2">
      <c r="A962" t="str">
        <f t="shared" si="15"/>
        <v>return_code_2927</v>
      </c>
      <c r="B962" t="s">
        <v>4906</v>
      </c>
      <c r="C962" t="s">
        <v>4907</v>
      </c>
    </row>
    <row r="963" spans="1:3" x14ac:dyDescent="0.2">
      <c r="A963" t="str">
        <f t="shared" si="15"/>
        <v>return_code_2928</v>
      </c>
      <c r="B963" t="s">
        <v>4908</v>
      </c>
      <c r="C963" t="s">
        <v>4909</v>
      </c>
    </row>
    <row r="964" spans="1:3" x14ac:dyDescent="0.2">
      <c r="A964" t="str">
        <f t="shared" si="15"/>
        <v>return_code_2929</v>
      </c>
      <c r="B964" t="s">
        <v>4910</v>
      </c>
      <c r="C964" t="s">
        <v>4911</v>
      </c>
    </row>
    <row r="965" spans="1:3" x14ac:dyDescent="0.2">
      <c r="A965" t="str">
        <f t="shared" si="15"/>
        <v>return_code_2930</v>
      </c>
      <c r="B965" t="s">
        <v>2712</v>
      </c>
      <c r="C965" t="s">
        <v>4912</v>
      </c>
    </row>
    <row r="966" spans="1:3" x14ac:dyDescent="0.2">
      <c r="A966" t="str">
        <f t="shared" si="15"/>
        <v>return_code_2931</v>
      </c>
      <c r="B966" t="s">
        <v>4913</v>
      </c>
      <c r="C966" t="s">
        <v>4909</v>
      </c>
    </row>
    <row r="967" spans="1:3" x14ac:dyDescent="0.2">
      <c r="A967" t="str">
        <f t="shared" si="15"/>
        <v>return_code_2932</v>
      </c>
      <c r="B967" t="s">
        <v>4914</v>
      </c>
      <c r="C967" t="s">
        <v>4915</v>
      </c>
    </row>
    <row r="968" spans="1:3" x14ac:dyDescent="0.2">
      <c r="A968" t="str">
        <f t="shared" si="15"/>
        <v>return_code_2933</v>
      </c>
      <c r="B968" t="s">
        <v>4916</v>
      </c>
      <c r="C968" t="s">
        <v>4917</v>
      </c>
    </row>
    <row r="969" spans="1:3" x14ac:dyDescent="0.2">
      <c r="A969" t="str">
        <f t="shared" si="15"/>
        <v>return_code_2934</v>
      </c>
      <c r="B969" t="s">
        <v>4918</v>
      </c>
      <c r="C969" t="s">
        <v>4898</v>
      </c>
    </row>
    <row r="970" spans="1:3" x14ac:dyDescent="0.2">
      <c r="A970" t="str">
        <f t="shared" si="15"/>
        <v>return_code_2935</v>
      </c>
      <c r="B970" t="s">
        <v>4919</v>
      </c>
      <c r="C970" t="s">
        <v>4920</v>
      </c>
    </row>
    <row r="971" spans="1:3" x14ac:dyDescent="0.2">
      <c r="A971" t="str">
        <f t="shared" si="15"/>
        <v>return_code_2936</v>
      </c>
      <c r="B971" t="s">
        <v>4921</v>
      </c>
      <c r="C971" t="s">
        <v>4922</v>
      </c>
    </row>
    <row r="972" spans="1:3" x14ac:dyDescent="0.2">
      <c r="A972" t="str">
        <f t="shared" si="15"/>
        <v>return_code_2937</v>
      </c>
      <c r="B972" t="s">
        <v>4923</v>
      </c>
      <c r="C972" t="s">
        <v>4924</v>
      </c>
    </row>
    <row r="973" spans="1:3" x14ac:dyDescent="0.2">
      <c r="A973" t="str">
        <f t="shared" si="15"/>
        <v>return_code_2938</v>
      </c>
      <c r="B973" t="s">
        <v>4925</v>
      </c>
      <c r="C973" t="s">
        <v>4926</v>
      </c>
    </row>
    <row r="974" spans="1:3" x14ac:dyDescent="0.2">
      <c r="A974" t="str">
        <f t="shared" si="15"/>
        <v>return_code_2939</v>
      </c>
      <c r="B974" t="s">
        <v>4927</v>
      </c>
      <c r="C974" t="s">
        <v>4909</v>
      </c>
    </row>
    <row r="975" spans="1:3" x14ac:dyDescent="0.2">
      <c r="A975" t="str">
        <f t="shared" si="15"/>
        <v>return_code_2940</v>
      </c>
      <c r="B975" t="s">
        <v>4928</v>
      </c>
      <c r="C975" t="s">
        <v>4929</v>
      </c>
    </row>
    <row r="976" spans="1:3" x14ac:dyDescent="0.2">
      <c r="A976" t="str">
        <f t="shared" si="15"/>
        <v>return_code_2941</v>
      </c>
      <c r="B976" t="s">
        <v>4930</v>
      </c>
      <c r="C976" t="s">
        <v>4926</v>
      </c>
    </row>
    <row r="977" spans="1:3" x14ac:dyDescent="0.2">
      <c r="A977" t="str">
        <f t="shared" si="15"/>
        <v>return_code_2942</v>
      </c>
      <c r="B977" t="s">
        <v>4931</v>
      </c>
      <c r="C977" t="s">
        <v>4898</v>
      </c>
    </row>
    <row r="978" spans="1:3" x14ac:dyDescent="0.2">
      <c r="A978" t="str">
        <f t="shared" si="15"/>
        <v>return_code_2943</v>
      </c>
      <c r="B978" t="s">
        <v>4932</v>
      </c>
      <c r="C978" t="s">
        <v>4933</v>
      </c>
    </row>
    <row r="979" spans="1:3" x14ac:dyDescent="0.2">
      <c r="A979" t="str">
        <f t="shared" si="15"/>
        <v>return_code_2944</v>
      </c>
      <c r="B979" t="s">
        <v>4934</v>
      </c>
      <c r="C979" t="s">
        <v>4917</v>
      </c>
    </row>
    <row r="980" spans="1:3" x14ac:dyDescent="0.2">
      <c r="A980" t="str">
        <f t="shared" si="15"/>
        <v>return_code_2945</v>
      </c>
      <c r="B980" t="s">
        <v>4935</v>
      </c>
      <c r="C980" t="s">
        <v>4909</v>
      </c>
    </row>
    <row r="981" spans="1:3" x14ac:dyDescent="0.2">
      <c r="A981" t="str">
        <f t="shared" si="15"/>
        <v>return_code_2946</v>
      </c>
      <c r="B981" t="s">
        <v>4936</v>
      </c>
      <c r="C981" t="s">
        <v>4937</v>
      </c>
    </row>
    <row r="982" spans="1:3" x14ac:dyDescent="0.2">
      <c r="A982" t="str">
        <f t="shared" si="15"/>
        <v>return_code_2947</v>
      </c>
      <c r="B982" t="s">
        <v>4938</v>
      </c>
      <c r="C982" t="s">
        <v>4939</v>
      </c>
    </row>
    <row r="983" spans="1:3" x14ac:dyDescent="0.2">
      <c r="A983" t="str">
        <f t="shared" si="15"/>
        <v>return_code_2948</v>
      </c>
      <c r="B983" t="s">
        <v>4940</v>
      </c>
      <c r="C983" t="s">
        <v>4917</v>
      </c>
    </row>
    <row r="984" spans="1:3" x14ac:dyDescent="0.2">
      <c r="A984" t="str">
        <f t="shared" si="15"/>
        <v>return_code_2949</v>
      </c>
      <c r="B984" t="s">
        <v>4941</v>
      </c>
      <c r="C984" t="s">
        <v>4942</v>
      </c>
    </row>
    <row r="985" spans="1:3" x14ac:dyDescent="0.2">
      <c r="A985" t="str">
        <f t="shared" si="15"/>
        <v>return_code_2950</v>
      </c>
      <c r="B985" t="s">
        <v>4943</v>
      </c>
      <c r="C985" t="s">
        <v>4944</v>
      </c>
    </row>
    <row r="986" spans="1:3" x14ac:dyDescent="0.2">
      <c r="A986" t="str">
        <f t="shared" si="15"/>
        <v>return_code_2951</v>
      </c>
      <c r="B986" t="s">
        <v>4945</v>
      </c>
      <c r="C986" t="s">
        <v>4917</v>
      </c>
    </row>
    <row r="987" spans="1:3" x14ac:dyDescent="0.2">
      <c r="A987" t="str">
        <f t="shared" si="15"/>
        <v>return_code_2952</v>
      </c>
      <c r="B987" t="s">
        <v>4946</v>
      </c>
      <c r="C987" t="s">
        <v>4909</v>
      </c>
    </row>
    <row r="988" spans="1:3" x14ac:dyDescent="0.2">
      <c r="A988" t="str">
        <f t="shared" si="15"/>
        <v>return_code_2953</v>
      </c>
      <c r="B988" t="s">
        <v>4947</v>
      </c>
      <c r="C988" t="s">
        <v>4844</v>
      </c>
    </row>
    <row r="989" spans="1:3" x14ac:dyDescent="0.2">
      <c r="A989" t="str">
        <f t="shared" si="15"/>
        <v>return_code_2954</v>
      </c>
      <c r="B989" t="s">
        <v>4948</v>
      </c>
      <c r="C989" t="s">
        <v>4949</v>
      </c>
    </row>
    <row r="990" spans="1:3" x14ac:dyDescent="0.2">
      <c r="A990" t="str">
        <f t="shared" si="15"/>
        <v>return_code_2955</v>
      </c>
      <c r="B990" t="s">
        <v>4950</v>
      </c>
      <c r="C990" t="s">
        <v>4951</v>
      </c>
    </row>
    <row r="991" spans="1:3" x14ac:dyDescent="0.2">
      <c r="A991" t="str">
        <f t="shared" si="15"/>
        <v>return_code_2956</v>
      </c>
      <c r="B991" t="s">
        <v>4952</v>
      </c>
      <c r="C991" t="s">
        <v>4953</v>
      </c>
    </row>
    <row r="992" spans="1:3" x14ac:dyDescent="0.2">
      <c r="A992" t="str">
        <f t="shared" si="15"/>
        <v>return_code_2957</v>
      </c>
      <c r="B992" t="s">
        <v>4954</v>
      </c>
      <c r="C992" t="s">
        <v>4955</v>
      </c>
    </row>
    <row r="993" spans="1:3" x14ac:dyDescent="0.2">
      <c r="A993" t="str">
        <f t="shared" si="15"/>
        <v>return_code_2958</v>
      </c>
      <c r="B993" t="s">
        <v>4956</v>
      </c>
      <c r="C993" t="s">
        <v>4957</v>
      </c>
    </row>
    <row r="994" spans="1:3" x14ac:dyDescent="0.2">
      <c r="A994" t="str">
        <f t="shared" si="15"/>
        <v>return_code_2959</v>
      </c>
      <c r="B994" t="s">
        <v>4958</v>
      </c>
      <c r="C994" t="s">
        <v>4959</v>
      </c>
    </row>
    <row r="995" spans="1:3" x14ac:dyDescent="0.2">
      <c r="A995" t="str">
        <f t="shared" si="15"/>
        <v>return_code_2960</v>
      </c>
      <c r="B995" t="s">
        <v>4960</v>
      </c>
      <c r="C995" t="s">
        <v>4961</v>
      </c>
    </row>
    <row r="996" spans="1:3" x14ac:dyDescent="0.2">
      <c r="A996" t="str">
        <f t="shared" si="15"/>
        <v>return_code_2961</v>
      </c>
      <c r="B996" t="s">
        <v>4962</v>
      </c>
      <c r="C996" t="s">
        <v>4963</v>
      </c>
    </row>
    <row r="997" spans="1:3" x14ac:dyDescent="0.2">
      <c r="A997" t="str">
        <f t="shared" si="15"/>
        <v>return_code_2962</v>
      </c>
      <c r="B997" t="s">
        <v>4964</v>
      </c>
      <c r="C997" t="s">
        <v>4965</v>
      </c>
    </row>
    <row r="998" spans="1:3" x14ac:dyDescent="0.2">
      <c r="A998" t="str">
        <f t="shared" si="15"/>
        <v>return_code_2963</v>
      </c>
      <c r="B998" t="s">
        <v>4966</v>
      </c>
      <c r="C998" t="s">
        <v>4959</v>
      </c>
    </row>
    <row r="999" spans="1:3" x14ac:dyDescent="0.2">
      <c r="A999" t="str">
        <f t="shared" si="15"/>
        <v>return_code_2964</v>
      </c>
      <c r="B999" t="s">
        <v>4967</v>
      </c>
      <c r="C999" t="s">
        <v>4968</v>
      </c>
    </row>
    <row r="1000" spans="1:3" x14ac:dyDescent="0.2">
      <c r="A1000" t="str">
        <f t="shared" si="15"/>
        <v>return_code_2965</v>
      </c>
      <c r="B1000" t="s">
        <v>4969</v>
      </c>
      <c r="C1000" t="s">
        <v>4970</v>
      </c>
    </row>
    <row r="1001" spans="1:3" x14ac:dyDescent="0.2">
      <c r="A1001" t="str">
        <f t="shared" si="15"/>
        <v>return_code_2966</v>
      </c>
      <c r="B1001" t="s">
        <v>4971</v>
      </c>
      <c r="C1001" t="s">
        <v>4972</v>
      </c>
    </row>
    <row r="1002" spans="1:3" x14ac:dyDescent="0.2">
      <c r="A1002" t="str">
        <f t="shared" si="15"/>
        <v>return_code_2967</v>
      </c>
      <c r="B1002" t="s">
        <v>4973</v>
      </c>
      <c r="C1002" t="s">
        <v>4974</v>
      </c>
    </row>
    <row r="1003" spans="1:3" x14ac:dyDescent="0.2">
      <c r="A1003" t="str">
        <f t="shared" si="15"/>
        <v>return_code_2968</v>
      </c>
      <c r="B1003" t="s">
        <v>4975</v>
      </c>
      <c r="C1003" t="s">
        <v>4976</v>
      </c>
    </row>
    <row r="1004" spans="1:3" x14ac:dyDescent="0.2">
      <c r="A1004" t="str">
        <f t="shared" si="15"/>
        <v>return_code_2969</v>
      </c>
      <c r="B1004" t="s">
        <v>4977</v>
      </c>
      <c r="C1004" t="s">
        <v>4974</v>
      </c>
    </row>
    <row r="1005" spans="1:3" x14ac:dyDescent="0.2">
      <c r="A1005" t="str">
        <f t="shared" si="15"/>
        <v>return_code_2970</v>
      </c>
      <c r="B1005" t="s">
        <v>4978</v>
      </c>
      <c r="C1005" t="s">
        <v>4979</v>
      </c>
    </row>
    <row r="1006" spans="1:3" x14ac:dyDescent="0.2">
      <c r="A1006" t="str">
        <f t="shared" si="15"/>
        <v>return_code_2971</v>
      </c>
      <c r="B1006" t="s">
        <v>4980</v>
      </c>
      <c r="C1006" t="s">
        <v>4981</v>
      </c>
    </row>
    <row r="1007" spans="1:3" x14ac:dyDescent="0.2">
      <c r="A1007" t="str">
        <f t="shared" si="15"/>
        <v>return_code_2972</v>
      </c>
      <c r="B1007" t="s">
        <v>4982</v>
      </c>
      <c r="C1007" t="s">
        <v>4983</v>
      </c>
    </row>
    <row r="1008" spans="1:3" x14ac:dyDescent="0.2">
      <c r="A1008" t="str">
        <f t="shared" si="15"/>
        <v>return_code_2973</v>
      </c>
      <c r="B1008" t="s">
        <v>4984</v>
      </c>
      <c r="C1008" t="s">
        <v>4985</v>
      </c>
    </row>
    <row r="1009" spans="1:3" x14ac:dyDescent="0.2">
      <c r="A1009" t="str">
        <f t="shared" si="15"/>
        <v>return_code_2974</v>
      </c>
      <c r="B1009" t="s">
        <v>4986</v>
      </c>
      <c r="C1009" t="s">
        <v>4987</v>
      </c>
    </row>
    <row r="1010" spans="1:3" x14ac:dyDescent="0.2">
      <c r="A1010" t="str">
        <f t="shared" si="15"/>
        <v>return_code_2975</v>
      </c>
      <c r="B1010" t="s">
        <v>4988</v>
      </c>
      <c r="C1010" t="s">
        <v>4989</v>
      </c>
    </row>
    <row r="1011" spans="1:3" x14ac:dyDescent="0.2">
      <c r="A1011" t="str">
        <f t="shared" si="15"/>
        <v>return_code_2976</v>
      </c>
      <c r="B1011" t="s">
        <v>4990</v>
      </c>
      <c r="C1011" t="s">
        <v>4991</v>
      </c>
    </row>
    <row r="1012" spans="1:3" x14ac:dyDescent="0.2">
      <c r="A1012" t="str">
        <f t="shared" si="15"/>
        <v>return_code_2977</v>
      </c>
      <c r="B1012" t="s">
        <v>4992</v>
      </c>
      <c r="C1012" t="s">
        <v>4993</v>
      </c>
    </row>
    <row r="1013" spans="1:3" x14ac:dyDescent="0.2">
      <c r="A1013" t="str">
        <f t="shared" si="15"/>
        <v>return_code_2978</v>
      </c>
      <c r="B1013" t="s">
        <v>4994</v>
      </c>
      <c r="C1013" t="s">
        <v>4995</v>
      </c>
    </row>
    <row r="1014" spans="1:3" x14ac:dyDescent="0.2">
      <c r="A1014" t="str">
        <f t="shared" si="15"/>
        <v>return_code_2979</v>
      </c>
      <c r="B1014" t="s">
        <v>4996</v>
      </c>
      <c r="C1014" t="s">
        <v>4997</v>
      </c>
    </row>
    <row r="1015" spans="1:3" x14ac:dyDescent="0.2">
      <c r="A1015" t="str">
        <f t="shared" si="15"/>
        <v>return_code_2980</v>
      </c>
      <c r="B1015" t="s">
        <v>4998</v>
      </c>
      <c r="C1015" t="s">
        <v>4999</v>
      </c>
    </row>
    <row r="1016" spans="1:3" x14ac:dyDescent="0.2">
      <c r="A1016" t="str">
        <f t="shared" si="15"/>
        <v>return_code_2981</v>
      </c>
      <c r="B1016" t="s">
        <v>5000</v>
      </c>
      <c r="C1016" t="s">
        <v>5001</v>
      </c>
    </row>
    <row r="1017" spans="1:3" x14ac:dyDescent="0.2">
      <c r="A1017" t="str">
        <f t="shared" si="15"/>
        <v>return_code_2982</v>
      </c>
      <c r="B1017" t="s">
        <v>5002</v>
      </c>
      <c r="C1017" t="s">
        <v>5003</v>
      </c>
    </row>
    <row r="1018" spans="1:3" x14ac:dyDescent="0.2">
      <c r="A1018" t="str">
        <f t="shared" si="15"/>
        <v>return_code_2983</v>
      </c>
      <c r="B1018" t="s">
        <v>5004</v>
      </c>
      <c r="C1018" t="s">
        <v>5005</v>
      </c>
    </row>
    <row r="1019" spans="1:3" x14ac:dyDescent="0.2">
      <c r="A1019" t="str">
        <f t="shared" si="15"/>
        <v>return_code_2984</v>
      </c>
      <c r="B1019" t="s">
        <v>5006</v>
      </c>
      <c r="C1019" t="s">
        <v>5007</v>
      </c>
    </row>
    <row r="1020" spans="1:3" x14ac:dyDescent="0.2">
      <c r="A1020" t="str">
        <f t="shared" si="15"/>
        <v>return_code_2985</v>
      </c>
      <c r="B1020" t="s">
        <v>5008</v>
      </c>
      <c r="C1020" t="s">
        <v>5009</v>
      </c>
    </row>
    <row r="1021" spans="1:3" x14ac:dyDescent="0.2">
      <c r="A1021" t="str">
        <f t="shared" si="15"/>
        <v>return_code_2986</v>
      </c>
      <c r="B1021" t="s">
        <v>5010</v>
      </c>
      <c r="C1021" t="s">
        <v>5011</v>
      </c>
    </row>
    <row r="1022" spans="1:3" x14ac:dyDescent="0.2">
      <c r="A1022" t="str">
        <f t="shared" si="15"/>
        <v>return_code_2987</v>
      </c>
      <c r="B1022" t="s">
        <v>5012</v>
      </c>
      <c r="C1022" t="s">
        <v>5013</v>
      </c>
    </row>
    <row r="1023" spans="1:3" x14ac:dyDescent="0.2">
      <c r="A1023" t="str">
        <f t="shared" si="15"/>
        <v>return_code_2988</v>
      </c>
      <c r="B1023" t="s">
        <v>5014</v>
      </c>
      <c r="C1023" t="s">
        <v>5015</v>
      </c>
    </row>
    <row r="1024" spans="1:3" x14ac:dyDescent="0.2">
      <c r="A1024" t="str">
        <f t="shared" si="15"/>
        <v>return_code_2989</v>
      </c>
      <c r="B1024" t="s">
        <v>5016</v>
      </c>
      <c r="C1024" t="s">
        <v>5017</v>
      </c>
    </row>
    <row r="1025" spans="1:3" x14ac:dyDescent="0.2">
      <c r="A1025" t="str">
        <f t="shared" ref="A1025:A1088" si="16">CONCATENATE("return_code_",B1025)</f>
        <v>return_code_2990</v>
      </c>
      <c r="B1025" t="s">
        <v>5018</v>
      </c>
      <c r="C1025" t="s">
        <v>5019</v>
      </c>
    </row>
    <row r="1026" spans="1:3" x14ac:dyDescent="0.2">
      <c r="A1026" t="str">
        <f t="shared" si="16"/>
        <v>return_code_2991</v>
      </c>
      <c r="B1026" t="s">
        <v>5020</v>
      </c>
      <c r="C1026" t="s">
        <v>5021</v>
      </c>
    </row>
    <row r="1027" spans="1:3" x14ac:dyDescent="0.2">
      <c r="A1027" t="str">
        <f t="shared" si="16"/>
        <v>return_code_2992</v>
      </c>
      <c r="B1027" t="s">
        <v>5022</v>
      </c>
      <c r="C1027" t="s">
        <v>5023</v>
      </c>
    </row>
    <row r="1028" spans="1:3" x14ac:dyDescent="0.2">
      <c r="A1028" t="str">
        <f t="shared" si="16"/>
        <v>return_code_2993</v>
      </c>
      <c r="B1028" t="s">
        <v>5024</v>
      </c>
      <c r="C1028" t="s">
        <v>5025</v>
      </c>
    </row>
    <row r="1029" spans="1:3" x14ac:dyDescent="0.2">
      <c r="A1029" t="str">
        <f t="shared" si="16"/>
        <v>return_code_2994</v>
      </c>
      <c r="B1029" t="s">
        <v>5026</v>
      </c>
      <c r="C1029" t="s">
        <v>5027</v>
      </c>
    </row>
    <row r="1030" spans="1:3" x14ac:dyDescent="0.2">
      <c r="A1030" t="str">
        <f t="shared" si="16"/>
        <v>return_code_2995</v>
      </c>
      <c r="B1030" t="s">
        <v>5028</v>
      </c>
      <c r="C1030" t="s">
        <v>5029</v>
      </c>
    </row>
    <row r="1031" spans="1:3" x14ac:dyDescent="0.2">
      <c r="A1031" t="str">
        <f t="shared" si="16"/>
        <v>return_code_2996</v>
      </c>
      <c r="B1031" t="s">
        <v>5030</v>
      </c>
      <c r="C1031" t="s">
        <v>5031</v>
      </c>
    </row>
    <row r="1032" spans="1:3" x14ac:dyDescent="0.2">
      <c r="A1032" t="str">
        <f t="shared" si="16"/>
        <v>return_code_2997</v>
      </c>
      <c r="B1032" t="s">
        <v>5032</v>
      </c>
      <c r="C1032" t="s">
        <v>5033</v>
      </c>
    </row>
    <row r="1033" spans="1:3" x14ac:dyDescent="0.2">
      <c r="A1033" t="str">
        <f t="shared" si="16"/>
        <v>return_code_2998</v>
      </c>
      <c r="B1033" t="s">
        <v>5034</v>
      </c>
      <c r="C1033" t="s">
        <v>5035</v>
      </c>
    </row>
    <row r="1034" spans="1:3" x14ac:dyDescent="0.2">
      <c r="A1034" t="str">
        <f t="shared" si="16"/>
        <v>return_code_2999</v>
      </c>
      <c r="B1034" t="s">
        <v>5036</v>
      </c>
      <c r="C1034" t="s">
        <v>5037</v>
      </c>
    </row>
    <row r="1035" spans="1:3" x14ac:dyDescent="0.2">
      <c r="A1035" t="str">
        <f t="shared" si="16"/>
        <v>return_code_3000</v>
      </c>
      <c r="B1035" t="s">
        <v>1617</v>
      </c>
      <c r="C1035" t="s">
        <v>5038</v>
      </c>
    </row>
    <row r="1036" spans="1:3" x14ac:dyDescent="0.2">
      <c r="A1036" t="str">
        <f t="shared" si="16"/>
        <v>return_code_3001</v>
      </c>
      <c r="B1036" t="s">
        <v>1756</v>
      </c>
      <c r="C1036" t="s">
        <v>5039</v>
      </c>
    </row>
    <row r="1037" spans="1:3" x14ac:dyDescent="0.2">
      <c r="A1037" t="str">
        <f t="shared" si="16"/>
        <v>return_code_3002</v>
      </c>
      <c r="B1037" t="s">
        <v>1783</v>
      </c>
      <c r="C1037" t="s">
        <v>5040</v>
      </c>
    </row>
    <row r="1038" spans="1:3" x14ac:dyDescent="0.2">
      <c r="A1038" t="str">
        <f t="shared" si="16"/>
        <v>return_code_3003</v>
      </c>
      <c r="B1038" t="s">
        <v>1785</v>
      </c>
      <c r="C1038" t="s">
        <v>5041</v>
      </c>
    </row>
    <row r="1039" spans="1:3" x14ac:dyDescent="0.2">
      <c r="A1039" t="str">
        <f t="shared" si="16"/>
        <v>return_code_3004</v>
      </c>
      <c r="B1039" t="s">
        <v>1787</v>
      </c>
      <c r="C1039" t="s">
        <v>5042</v>
      </c>
    </row>
    <row r="1040" spans="1:3" x14ac:dyDescent="0.2">
      <c r="A1040" t="str">
        <f t="shared" si="16"/>
        <v>return_code_3005</v>
      </c>
      <c r="B1040" t="s">
        <v>1789</v>
      </c>
      <c r="C1040" t="s">
        <v>5043</v>
      </c>
    </row>
    <row r="1041" spans="1:3" x14ac:dyDescent="0.2">
      <c r="A1041" t="str">
        <f t="shared" si="16"/>
        <v>return_code_3006</v>
      </c>
      <c r="B1041" t="s">
        <v>1791</v>
      </c>
      <c r="C1041" t="s">
        <v>5044</v>
      </c>
    </row>
    <row r="1042" spans="1:3" x14ac:dyDescent="0.2">
      <c r="A1042" t="str">
        <f t="shared" si="16"/>
        <v>return_code_3007</v>
      </c>
      <c r="B1042" t="s">
        <v>1793</v>
      </c>
      <c r="C1042" t="s">
        <v>5045</v>
      </c>
    </row>
    <row r="1043" spans="1:3" x14ac:dyDescent="0.2">
      <c r="A1043" t="str">
        <f t="shared" si="16"/>
        <v>return_code_3008</v>
      </c>
      <c r="B1043" t="s">
        <v>1795</v>
      </c>
      <c r="C1043" t="s">
        <v>5046</v>
      </c>
    </row>
    <row r="1044" spans="1:3" x14ac:dyDescent="0.2">
      <c r="A1044" t="str">
        <f t="shared" si="16"/>
        <v>return_code_3009</v>
      </c>
      <c r="B1044" t="s">
        <v>1797</v>
      </c>
      <c r="C1044" t="s">
        <v>5047</v>
      </c>
    </row>
    <row r="1045" spans="1:3" x14ac:dyDescent="0.2">
      <c r="A1045" t="str">
        <f t="shared" si="16"/>
        <v>return_code_3010</v>
      </c>
      <c r="B1045" t="s">
        <v>1799</v>
      </c>
      <c r="C1045" t="s">
        <v>5048</v>
      </c>
    </row>
    <row r="1046" spans="1:3" x14ac:dyDescent="0.2">
      <c r="A1046" t="str">
        <f t="shared" si="16"/>
        <v>return_code_3011</v>
      </c>
      <c r="B1046" t="s">
        <v>2714</v>
      </c>
      <c r="C1046" t="s">
        <v>5049</v>
      </c>
    </row>
    <row r="1047" spans="1:3" x14ac:dyDescent="0.2">
      <c r="A1047" t="str">
        <f t="shared" si="16"/>
        <v>return_code_3012</v>
      </c>
      <c r="B1047" t="s">
        <v>2716</v>
      </c>
      <c r="C1047" t="s">
        <v>5050</v>
      </c>
    </row>
    <row r="1048" spans="1:3" x14ac:dyDescent="0.2">
      <c r="A1048" t="str">
        <f t="shared" si="16"/>
        <v>return_code_3013</v>
      </c>
      <c r="B1048" t="s">
        <v>5051</v>
      </c>
      <c r="C1048" t="s">
        <v>5052</v>
      </c>
    </row>
    <row r="1049" spans="1:3" x14ac:dyDescent="0.2">
      <c r="A1049" t="str">
        <f t="shared" si="16"/>
        <v>return_code_3014</v>
      </c>
      <c r="B1049" t="s">
        <v>5053</v>
      </c>
      <c r="C1049" t="s">
        <v>5054</v>
      </c>
    </row>
    <row r="1050" spans="1:3" x14ac:dyDescent="0.2">
      <c r="A1050" t="str">
        <f t="shared" si="16"/>
        <v>return_code_3015</v>
      </c>
      <c r="B1050" t="s">
        <v>5055</v>
      </c>
      <c r="C1050" t="s">
        <v>5056</v>
      </c>
    </row>
    <row r="1051" spans="1:3" x14ac:dyDescent="0.2">
      <c r="A1051" t="str">
        <f t="shared" si="16"/>
        <v>return_code_3016</v>
      </c>
      <c r="B1051" t="s">
        <v>5057</v>
      </c>
      <c r="C1051" t="s">
        <v>5058</v>
      </c>
    </row>
    <row r="1052" spans="1:3" x14ac:dyDescent="0.2">
      <c r="A1052" t="str">
        <f t="shared" si="16"/>
        <v>return_code_3017</v>
      </c>
      <c r="B1052" t="s">
        <v>5059</v>
      </c>
      <c r="C1052" t="s">
        <v>5060</v>
      </c>
    </row>
    <row r="1053" spans="1:3" x14ac:dyDescent="0.2">
      <c r="A1053" t="str">
        <f t="shared" si="16"/>
        <v>return_code_3018</v>
      </c>
      <c r="B1053" t="s">
        <v>5061</v>
      </c>
      <c r="C1053" t="s">
        <v>5062</v>
      </c>
    </row>
    <row r="1054" spans="1:3" x14ac:dyDescent="0.2">
      <c r="A1054" t="str">
        <f t="shared" si="16"/>
        <v>return_code_3019</v>
      </c>
      <c r="B1054" t="s">
        <v>5063</v>
      </c>
      <c r="C1054" t="s">
        <v>5064</v>
      </c>
    </row>
    <row r="1055" spans="1:3" x14ac:dyDescent="0.2">
      <c r="A1055" t="str">
        <f t="shared" si="16"/>
        <v>return_code_3020</v>
      </c>
      <c r="B1055" t="s">
        <v>2718</v>
      </c>
      <c r="C1055" t="s">
        <v>5065</v>
      </c>
    </row>
    <row r="1056" spans="1:3" x14ac:dyDescent="0.2">
      <c r="A1056" t="str">
        <f t="shared" si="16"/>
        <v>return_code_3021</v>
      </c>
      <c r="B1056" t="s">
        <v>5066</v>
      </c>
      <c r="C1056" t="s">
        <v>5067</v>
      </c>
    </row>
    <row r="1057" spans="1:3" x14ac:dyDescent="0.2">
      <c r="A1057" t="str">
        <f t="shared" si="16"/>
        <v>return_code_3022</v>
      </c>
      <c r="B1057" t="s">
        <v>5068</v>
      </c>
      <c r="C1057" t="s">
        <v>5069</v>
      </c>
    </row>
    <row r="1058" spans="1:3" x14ac:dyDescent="0.2">
      <c r="A1058" t="str">
        <f t="shared" si="16"/>
        <v>return_code_3023</v>
      </c>
      <c r="B1058" t="s">
        <v>5070</v>
      </c>
      <c r="C1058" t="s">
        <v>5071</v>
      </c>
    </row>
    <row r="1059" spans="1:3" x14ac:dyDescent="0.2">
      <c r="A1059" t="str">
        <f t="shared" si="16"/>
        <v>return_code_3024</v>
      </c>
      <c r="B1059" t="s">
        <v>5072</v>
      </c>
      <c r="C1059" t="s">
        <v>5073</v>
      </c>
    </row>
    <row r="1060" spans="1:3" x14ac:dyDescent="0.2">
      <c r="A1060" t="str">
        <f t="shared" si="16"/>
        <v>return_code_3025</v>
      </c>
      <c r="B1060" t="s">
        <v>5074</v>
      </c>
      <c r="C1060" t="s">
        <v>5075</v>
      </c>
    </row>
    <row r="1061" spans="1:3" x14ac:dyDescent="0.2">
      <c r="A1061" t="str">
        <f t="shared" si="16"/>
        <v>return_code_3026</v>
      </c>
      <c r="B1061" t="s">
        <v>5076</v>
      </c>
      <c r="C1061" t="s">
        <v>5077</v>
      </c>
    </row>
    <row r="1062" spans="1:3" x14ac:dyDescent="0.2">
      <c r="A1062" t="str">
        <f t="shared" si="16"/>
        <v>return_code_3027</v>
      </c>
      <c r="B1062" t="s">
        <v>5078</v>
      </c>
      <c r="C1062" t="s">
        <v>5079</v>
      </c>
    </row>
    <row r="1063" spans="1:3" x14ac:dyDescent="0.2">
      <c r="A1063" t="str">
        <f t="shared" si="16"/>
        <v>return_code_3028</v>
      </c>
      <c r="B1063" t="s">
        <v>5080</v>
      </c>
      <c r="C1063" t="s">
        <v>5081</v>
      </c>
    </row>
    <row r="1064" spans="1:3" x14ac:dyDescent="0.2">
      <c r="A1064" t="str">
        <f t="shared" si="16"/>
        <v>return_code_3029</v>
      </c>
      <c r="B1064" t="s">
        <v>5082</v>
      </c>
      <c r="C1064" t="s">
        <v>5083</v>
      </c>
    </row>
    <row r="1065" spans="1:3" x14ac:dyDescent="0.2">
      <c r="A1065" t="str">
        <f t="shared" si="16"/>
        <v>return_code_3030</v>
      </c>
      <c r="B1065" t="s">
        <v>2720</v>
      </c>
      <c r="C1065" t="s">
        <v>5084</v>
      </c>
    </row>
    <row r="1066" spans="1:3" x14ac:dyDescent="0.2">
      <c r="A1066" t="str">
        <f t="shared" si="16"/>
        <v>return_code_3031</v>
      </c>
      <c r="B1066" t="s">
        <v>5085</v>
      </c>
      <c r="C1066" t="s">
        <v>5086</v>
      </c>
    </row>
    <row r="1067" spans="1:3" x14ac:dyDescent="0.2">
      <c r="A1067" t="str">
        <f t="shared" si="16"/>
        <v>return_code_3032</v>
      </c>
      <c r="B1067" t="s">
        <v>5087</v>
      </c>
      <c r="C1067" t="s">
        <v>5088</v>
      </c>
    </row>
    <row r="1068" spans="1:3" x14ac:dyDescent="0.2">
      <c r="A1068" t="str">
        <f t="shared" si="16"/>
        <v>return_code_3033</v>
      </c>
      <c r="B1068" t="s">
        <v>5089</v>
      </c>
      <c r="C1068" t="s">
        <v>5090</v>
      </c>
    </row>
    <row r="1069" spans="1:3" x14ac:dyDescent="0.2">
      <c r="A1069" t="str">
        <f t="shared" si="16"/>
        <v>return_code_3034</v>
      </c>
      <c r="B1069" t="s">
        <v>5091</v>
      </c>
      <c r="C1069" t="s">
        <v>5092</v>
      </c>
    </row>
    <row r="1070" spans="1:3" x14ac:dyDescent="0.2">
      <c r="A1070" t="str">
        <f t="shared" si="16"/>
        <v>return_code_3035</v>
      </c>
      <c r="B1070" t="s">
        <v>5093</v>
      </c>
      <c r="C1070" t="s">
        <v>5094</v>
      </c>
    </row>
    <row r="1071" spans="1:3" x14ac:dyDescent="0.2">
      <c r="A1071" t="str">
        <f t="shared" si="16"/>
        <v>return_code_3036</v>
      </c>
      <c r="B1071" t="s">
        <v>5095</v>
      </c>
      <c r="C1071" t="s">
        <v>5096</v>
      </c>
    </row>
    <row r="1072" spans="1:3" x14ac:dyDescent="0.2">
      <c r="A1072" t="str">
        <f t="shared" si="16"/>
        <v>return_code_3037</v>
      </c>
      <c r="B1072" t="s">
        <v>5097</v>
      </c>
      <c r="C1072" t="s">
        <v>5098</v>
      </c>
    </row>
    <row r="1073" spans="1:3" x14ac:dyDescent="0.2">
      <c r="A1073" t="str">
        <f t="shared" si="16"/>
        <v>return_code_3038</v>
      </c>
      <c r="B1073" t="s">
        <v>5099</v>
      </c>
      <c r="C1073" t="s">
        <v>5100</v>
      </c>
    </row>
    <row r="1074" spans="1:3" x14ac:dyDescent="0.2">
      <c r="A1074" t="str">
        <f t="shared" si="16"/>
        <v>return_code_3039</v>
      </c>
      <c r="B1074" t="s">
        <v>5101</v>
      </c>
      <c r="C1074" t="s">
        <v>5102</v>
      </c>
    </row>
    <row r="1075" spans="1:3" x14ac:dyDescent="0.2">
      <c r="A1075" t="str">
        <f t="shared" si="16"/>
        <v>return_code_3040</v>
      </c>
      <c r="B1075" t="s">
        <v>2722</v>
      </c>
      <c r="C1075" t="s">
        <v>5103</v>
      </c>
    </row>
    <row r="1076" spans="1:3" x14ac:dyDescent="0.2">
      <c r="A1076" t="str">
        <f t="shared" si="16"/>
        <v>return_code_3041</v>
      </c>
      <c r="B1076" t="s">
        <v>5104</v>
      </c>
      <c r="C1076" t="s">
        <v>5105</v>
      </c>
    </row>
    <row r="1077" spans="1:3" x14ac:dyDescent="0.2">
      <c r="A1077" t="str">
        <f t="shared" si="16"/>
        <v>return_code_3042</v>
      </c>
      <c r="B1077" t="s">
        <v>5106</v>
      </c>
      <c r="C1077" t="s">
        <v>5107</v>
      </c>
    </row>
    <row r="1078" spans="1:3" x14ac:dyDescent="0.2">
      <c r="A1078" t="str">
        <f t="shared" si="16"/>
        <v>return_code_3043</v>
      </c>
      <c r="B1078" t="s">
        <v>5108</v>
      </c>
      <c r="C1078" t="s">
        <v>5109</v>
      </c>
    </row>
    <row r="1079" spans="1:3" x14ac:dyDescent="0.2">
      <c r="A1079" t="str">
        <f t="shared" si="16"/>
        <v>return_code_3044</v>
      </c>
      <c r="B1079" t="s">
        <v>5110</v>
      </c>
      <c r="C1079" t="s">
        <v>5111</v>
      </c>
    </row>
    <row r="1080" spans="1:3" x14ac:dyDescent="0.2">
      <c r="A1080" t="str">
        <f t="shared" si="16"/>
        <v>return_code_3045</v>
      </c>
      <c r="B1080" t="s">
        <v>5112</v>
      </c>
      <c r="C1080" t="s">
        <v>5113</v>
      </c>
    </row>
    <row r="1081" spans="1:3" x14ac:dyDescent="0.2">
      <c r="A1081" t="str">
        <f t="shared" si="16"/>
        <v>return_code_3046</v>
      </c>
      <c r="B1081" t="s">
        <v>5114</v>
      </c>
      <c r="C1081" t="s">
        <v>5115</v>
      </c>
    </row>
    <row r="1082" spans="1:3" x14ac:dyDescent="0.2">
      <c r="A1082" t="str">
        <f t="shared" si="16"/>
        <v>return_code_3047</v>
      </c>
      <c r="B1082" t="s">
        <v>5116</v>
      </c>
      <c r="C1082" t="s">
        <v>5117</v>
      </c>
    </row>
    <row r="1083" spans="1:3" x14ac:dyDescent="0.2">
      <c r="A1083" t="str">
        <f t="shared" si="16"/>
        <v>return_code_3048</v>
      </c>
      <c r="B1083" t="s">
        <v>5118</v>
      </c>
      <c r="C1083" t="s">
        <v>5119</v>
      </c>
    </row>
    <row r="1084" spans="1:3" x14ac:dyDescent="0.2">
      <c r="A1084" t="str">
        <f t="shared" si="16"/>
        <v>return_code_3049</v>
      </c>
      <c r="B1084" t="s">
        <v>5120</v>
      </c>
      <c r="C1084" t="s">
        <v>5121</v>
      </c>
    </row>
    <row r="1085" spans="1:3" x14ac:dyDescent="0.2">
      <c r="A1085" t="str">
        <f t="shared" si="16"/>
        <v>return_code_3050</v>
      </c>
      <c r="B1085" t="s">
        <v>2152</v>
      </c>
      <c r="C1085" t="s">
        <v>5122</v>
      </c>
    </row>
    <row r="1086" spans="1:3" x14ac:dyDescent="0.2">
      <c r="A1086" t="str">
        <f t="shared" si="16"/>
        <v>return_code_3051</v>
      </c>
      <c r="B1086" t="s">
        <v>2154</v>
      </c>
      <c r="C1086" t="s">
        <v>5123</v>
      </c>
    </row>
    <row r="1087" spans="1:3" x14ac:dyDescent="0.2">
      <c r="A1087" t="str">
        <f t="shared" si="16"/>
        <v>return_code_3052</v>
      </c>
      <c r="B1087" t="s">
        <v>2156</v>
      </c>
      <c r="C1087" t="s">
        <v>5124</v>
      </c>
    </row>
    <row r="1088" spans="1:3" x14ac:dyDescent="0.2">
      <c r="A1088" t="str">
        <f t="shared" si="16"/>
        <v>return_code_3053</v>
      </c>
      <c r="B1088" t="s">
        <v>2158</v>
      </c>
      <c r="C1088" t="s">
        <v>5125</v>
      </c>
    </row>
    <row r="1089" spans="1:3" x14ac:dyDescent="0.2">
      <c r="A1089" t="str">
        <f t="shared" ref="A1089:A1152" si="17">CONCATENATE("return_code_",B1089)</f>
        <v>return_code_3054</v>
      </c>
      <c r="B1089" t="s">
        <v>2160</v>
      </c>
      <c r="C1089" t="s">
        <v>5126</v>
      </c>
    </row>
    <row r="1090" spans="1:3" x14ac:dyDescent="0.2">
      <c r="A1090" t="str">
        <f t="shared" si="17"/>
        <v>return_code_3055</v>
      </c>
      <c r="B1090" t="s">
        <v>2162</v>
      </c>
      <c r="C1090" t="s">
        <v>5127</v>
      </c>
    </row>
    <row r="1091" spans="1:3" x14ac:dyDescent="0.2">
      <c r="A1091" t="str">
        <f t="shared" si="17"/>
        <v>return_code_3056</v>
      </c>
      <c r="B1091" t="s">
        <v>2164</v>
      </c>
      <c r="C1091" t="s">
        <v>5128</v>
      </c>
    </row>
    <row r="1092" spans="1:3" x14ac:dyDescent="0.2">
      <c r="A1092" t="str">
        <f t="shared" si="17"/>
        <v>return_code_3057</v>
      </c>
      <c r="B1092" t="s">
        <v>2166</v>
      </c>
      <c r="C1092" t="s">
        <v>5129</v>
      </c>
    </row>
    <row r="1093" spans="1:3" x14ac:dyDescent="0.2">
      <c r="A1093" t="str">
        <f t="shared" si="17"/>
        <v>return_code_3058</v>
      </c>
      <c r="B1093" t="s">
        <v>2168</v>
      </c>
      <c r="C1093" t="s">
        <v>5130</v>
      </c>
    </row>
    <row r="1094" spans="1:3" x14ac:dyDescent="0.2">
      <c r="A1094" t="str">
        <f t="shared" si="17"/>
        <v>return_code_3059</v>
      </c>
      <c r="B1094" t="s">
        <v>2170</v>
      </c>
      <c r="C1094" t="s">
        <v>5131</v>
      </c>
    </row>
    <row r="1095" spans="1:3" x14ac:dyDescent="0.2">
      <c r="A1095" t="str">
        <f t="shared" si="17"/>
        <v>return_code_3060</v>
      </c>
      <c r="B1095" t="s">
        <v>2172</v>
      </c>
      <c r="C1095" t="s">
        <v>5132</v>
      </c>
    </row>
    <row r="1096" spans="1:3" x14ac:dyDescent="0.2">
      <c r="A1096" t="str">
        <f t="shared" si="17"/>
        <v>return_code_3061</v>
      </c>
      <c r="B1096" t="s">
        <v>5133</v>
      </c>
      <c r="C1096" t="s">
        <v>5134</v>
      </c>
    </row>
    <row r="1097" spans="1:3" x14ac:dyDescent="0.2">
      <c r="A1097" t="str">
        <f t="shared" si="17"/>
        <v>return_code_3062</v>
      </c>
      <c r="B1097" t="s">
        <v>5135</v>
      </c>
      <c r="C1097" t="s">
        <v>5136</v>
      </c>
    </row>
    <row r="1098" spans="1:3" x14ac:dyDescent="0.2">
      <c r="A1098" t="str">
        <f t="shared" si="17"/>
        <v>return_code_3063</v>
      </c>
      <c r="B1098" t="s">
        <v>5137</v>
      </c>
      <c r="C1098" t="s">
        <v>5138</v>
      </c>
    </row>
    <row r="1099" spans="1:3" x14ac:dyDescent="0.2">
      <c r="A1099" t="str">
        <f t="shared" si="17"/>
        <v>return_code_3064</v>
      </c>
      <c r="B1099" t="s">
        <v>5139</v>
      </c>
      <c r="C1099" t="s">
        <v>5140</v>
      </c>
    </row>
    <row r="1100" spans="1:3" x14ac:dyDescent="0.2">
      <c r="A1100" t="str">
        <f t="shared" si="17"/>
        <v>return_code_3065</v>
      </c>
      <c r="B1100" t="s">
        <v>5141</v>
      </c>
      <c r="C1100" t="s">
        <v>5142</v>
      </c>
    </row>
    <row r="1101" spans="1:3" x14ac:dyDescent="0.2">
      <c r="A1101" t="str">
        <f t="shared" si="17"/>
        <v>return_code_3066</v>
      </c>
      <c r="B1101" t="s">
        <v>5143</v>
      </c>
      <c r="C1101" t="s">
        <v>5144</v>
      </c>
    </row>
    <row r="1102" spans="1:3" x14ac:dyDescent="0.2">
      <c r="A1102" t="str">
        <f t="shared" si="17"/>
        <v>return_code_3067</v>
      </c>
      <c r="B1102" t="s">
        <v>5145</v>
      </c>
      <c r="C1102" t="s">
        <v>5146</v>
      </c>
    </row>
    <row r="1103" spans="1:3" x14ac:dyDescent="0.2">
      <c r="A1103" t="str">
        <f t="shared" si="17"/>
        <v>return_code_3068</v>
      </c>
      <c r="B1103" t="s">
        <v>5147</v>
      </c>
      <c r="C1103" t="s">
        <v>5148</v>
      </c>
    </row>
    <row r="1104" spans="1:3" x14ac:dyDescent="0.2">
      <c r="A1104" t="str">
        <f t="shared" si="17"/>
        <v>return_code_3069</v>
      </c>
      <c r="B1104" t="s">
        <v>5149</v>
      </c>
      <c r="C1104" t="s">
        <v>5150</v>
      </c>
    </row>
    <row r="1105" spans="1:3" x14ac:dyDescent="0.2">
      <c r="A1105" t="str">
        <f t="shared" si="17"/>
        <v>return_code_3070</v>
      </c>
      <c r="B1105" t="s">
        <v>5151</v>
      </c>
      <c r="C1105" t="s">
        <v>5152</v>
      </c>
    </row>
    <row r="1106" spans="1:3" x14ac:dyDescent="0.2">
      <c r="A1106" t="str">
        <f t="shared" si="17"/>
        <v>return_code_3071</v>
      </c>
      <c r="B1106" t="s">
        <v>5153</v>
      </c>
      <c r="C1106" t="s">
        <v>5154</v>
      </c>
    </row>
    <row r="1107" spans="1:3" x14ac:dyDescent="0.2">
      <c r="A1107" t="str">
        <f t="shared" si="17"/>
        <v>return_code_3072</v>
      </c>
      <c r="B1107" t="s">
        <v>5155</v>
      </c>
      <c r="C1107" t="s">
        <v>5156</v>
      </c>
    </row>
    <row r="1108" spans="1:3" x14ac:dyDescent="0.2">
      <c r="A1108" t="str">
        <f t="shared" si="17"/>
        <v>return_code_3073</v>
      </c>
      <c r="B1108" t="s">
        <v>5157</v>
      </c>
      <c r="C1108" t="s">
        <v>5158</v>
      </c>
    </row>
    <row r="1109" spans="1:3" x14ac:dyDescent="0.2">
      <c r="A1109" t="str">
        <f t="shared" si="17"/>
        <v>return_code_3074</v>
      </c>
      <c r="B1109" t="s">
        <v>5159</v>
      </c>
      <c r="C1109" t="s">
        <v>5160</v>
      </c>
    </row>
    <row r="1110" spans="1:3" x14ac:dyDescent="0.2">
      <c r="A1110" t="str">
        <f t="shared" si="17"/>
        <v>return_code_3075</v>
      </c>
      <c r="B1110" t="s">
        <v>5161</v>
      </c>
      <c r="C1110" t="s">
        <v>5162</v>
      </c>
    </row>
    <row r="1111" spans="1:3" x14ac:dyDescent="0.2">
      <c r="A1111" t="str">
        <f t="shared" si="17"/>
        <v>return_code_3076</v>
      </c>
      <c r="B1111" t="s">
        <v>5163</v>
      </c>
      <c r="C1111" t="s">
        <v>5164</v>
      </c>
    </row>
    <row r="1112" spans="1:3" x14ac:dyDescent="0.2">
      <c r="A1112" t="str">
        <f t="shared" si="17"/>
        <v>return_code_3077</v>
      </c>
      <c r="B1112" t="s">
        <v>5165</v>
      </c>
      <c r="C1112" t="s">
        <v>5166</v>
      </c>
    </row>
    <row r="1113" spans="1:3" x14ac:dyDescent="0.2">
      <c r="A1113" t="str">
        <f t="shared" si="17"/>
        <v>return_code_3078</v>
      </c>
      <c r="B1113" t="s">
        <v>5167</v>
      </c>
      <c r="C1113" t="s">
        <v>5168</v>
      </c>
    </row>
    <row r="1114" spans="1:3" x14ac:dyDescent="0.2">
      <c r="A1114" t="str">
        <f t="shared" si="17"/>
        <v>return_code_3079</v>
      </c>
      <c r="B1114" t="s">
        <v>5169</v>
      </c>
      <c r="C1114" t="s">
        <v>5170</v>
      </c>
    </row>
    <row r="1115" spans="1:3" x14ac:dyDescent="0.2">
      <c r="A1115" t="str">
        <f t="shared" si="17"/>
        <v>return_code_3080</v>
      </c>
      <c r="B1115" t="s">
        <v>5171</v>
      </c>
      <c r="C1115" t="s">
        <v>5172</v>
      </c>
    </row>
    <row r="1116" spans="1:3" x14ac:dyDescent="0.2">
      <c r="A1116" t="str">
        <f t="shared" si="17"/>
        <v>return_code_3081</v>
      </c>
      <c r="B1116" t="s">
        <v>5173</v>
      </c>
      <c r="C1116" t="s">
        <v>5174</v>
      </c>
    </row>
    <row r="1117" spans="1:3" x14ac:dyDescent="0.2">
      <c r="A1117" t="str">
        <f t="shared" si="17"/>
        <v>return_code_3082</v>
      </c>
      <c r="B1117" t="s">
        <v>5175</v>
      </c>
      <c r="C1117" t="s">
        <v>5176</v>
      </c>
    </row>
    <row r="1118" spans="1:3" x14ac:dyDescent="0.2">
      <c r="A1118" t="str">
        <f t="shared" si="17"/>
        <v>return_code_3083</v>
      </c>
      <c r="B1118" t="s">
        <v>5177</v>
      </c>
      <c r="C1118" t="s">
        <v>5178</v>
      </c>
    </row>
    <row r="1119" spans="1:3" x14ac:dyDescent="0.2">
      <c r="A1119" t="str">
        <f t="shared" si="17"/>
        <v>return_code_3084</v>
      </c>
      <c r="B1119" t="s">
        <v>5179</v>
      </c>
      <c r="C1119" t="s">
        <v>5180</v>
      </c>
    </row>
    <row r="1120" spans="1:3" x14ac:dyDescent="0.2">
      <c r="A1120" t="str">
        <f t="shared" si="17"/>
        <v>return_code_3085</v>
      </c>
      <c r="B1120" t="s">
        <v>5181</v>
      </c>
      <c r="C1120" t="s">
        <v>5182</v>
      </c>
    </row>
    <row r="1121" spans="1:3" x14ac:dyDescent="0.2">
      <c r="A1121" t="str">
        <f t="shared" si="17"/>
        <v>return_code_3086</v>
      </c>
      <c r="B1121" t="s">
        <v>5183</v>
      </c>
      <c r="C1121" t="s">
        <v>5184</v>
      </c>
    </row>
    <row r="1122" spans="1:3" x14ac:dyDescent="0.2">
      <c r="A1122" t="str">
        <f t="shared" si="17"/>
        <v>return_code_3087</v>
      </c>
      <c r="B1122" t="s">
        <v>5185</v>
      </c>
      <c r="C1122" t="s">
        <v>5186</v>
      </c>
    </row>
    <row r="1123" spans="1:3" x14ac:dyDescent="0.2">
      <c r="A1123" t="str">
        <f t="shared" si="17"/>
        <v>return_code_3088</v>
      </c>
      <c r="B1123" t="s">
        <v>5187</v>
      </c>
      <c r="C1123" t="s">
        <v>5188</v>
      </c>
    </row>
    <row r="1124" spans="1:3" x14ac:dyDescent="0.2">
      <c r="A1124" t="str">
        <f t="shared" si="17"/>
        <v>return_code_3089</v>
      </c>
      <c r="B1124" t="s">
        <v>5189</v>
      </c>
      <c r="C1124" t="s">
        <v>5190</v>
      </c>
    </row>
    <row r="1125" spans="1:3" x14ac:dyDescent="0.2">
      <c r="A1125" t="str">
        <f t="shared" si="17"/>
        <v>return_code_3090</v>
      </c>
      <c r="B1125" t="s">
        <v>5191</v>
      </c>
      <c r="C1125" t="s">
        <v>5192</v>
      </c>
    </row>
    <row r="1126" spans="1:3" x14ac:dyDescent="0.2">
      <c r="A1126" t="str">
        <f t="shared" si="17"/>
        <v>return_code_3091</v>
      </c>
      <c r="B1126" t="s">
        <v>2724</v>
      </c>
      <c r="C1126" t="s">
        <v>5193</v>
      </c>
    </row>
    <row r="1127" spans="1:3" x14ac:dyDescent="0.2">
      <c r="A1127" t="str">
        <f t="shared" si="17"/>
        <v>return_code_3092</v>
      </c>
      <c r="B1127" t="s">
        <v>2726</v>
      </c>
      <c r="C1127" t="s">
        <v>5194</v>
      </c>
    </row>
    <row r="1128" spans="1:3" x14ac:dyDescent="0.2">
      <c r="A1128" t="str">
        <f t="shared" si="17"/>
        <v>return_code_3093</v>
      </c>
      <c r="B1128" t="s">
        <v>5195</v>
      </c>
      <c r="C1128" t="s">
        <v>5196</v>
      </c>
    </row>
    <row r="1129" spans="1:3" x14ac:dyDescent="0.2">
      <c r="A1129" t="str">
        <f t="shared" si="17"/>
        <v>return_code_3094</v>
      </c>
      <c r="B1129" t="s">
        <v>5197</v>
      </c>
      <c r="C1129" t="s">
        <v>5198</v>
      </c>
    </row>
    <row r="1130" spans="1:3" x14ac:dyDescent="0.2">
      <c r="A1130" t="str">
        <f t="shared" si="17"/>
        <v>return_code_3095</v>
      </c>
      <c r="B1130" t="s">
        <v>5199</v>
      </c>
      <c r="C1130" t="s">
        <v>5200</v>
      </c>
    </row>
    <row r="1131" spans="1:3" x14ac:dyDescent="0.2">
      <c r="A1131" t="str">
        <f t="shared" si="17"/>
        <v>return_code_3096</v>
      </c>
      <c r="B1131" t="s">
        <v>5201</v>
      </c>
      <c r="C1131" t="s">
        <v>5202</v>
      </c>
    </row>
    <row r="1132" spans="1:3" x14ac:dyDescent="0.2">
      <c r="A1132" t="str">
        <f t="shared" si="17"/>
        <v>return_code_3097</v>
      </c>
      <c r="B1132" t="s">
        <v>5203</v>
      </c>
      <c r="C1132" t="s">
        <v>5204</v>
      </c>
    </row>
    <row r="1133" spans="1:3" x14ac:dyDescent="0.2">
      <c r="A1133" t="str">
        <f t="shared" si="17"/>
        <v>return_code_3098</v>
      </c>
      <c r="B1133" t="s">
        <v>5205</v>
      </c>
      <c r="C1133" t="s">
        <v>5206</v>
      </c>
    </row>
    <row r="1134" spans="1:3" x14ac:dyDescent="0.2">
      <c r="A1134" t="str">
        <f t="shared" si="17"/>
        <v>return_code_3099</v>
      </c>
      <c r="B1134" t="s">
        <v>2728</v>
      </c>
      <c r="C1134" t="s">
        <v>5207</v>
      </c>
    </row>
    <row r="1135" spans="1:3" x14ac:dyDescent="0.2">
      <c r="A1135" t="str">
        <f t="shared" si="17"/>
        <v>return_code_3100</v>
      </c>
      <c r="B1135" t="s">
        <v>2730</v>
      </c>
      <c r="C1135" t="s">
        <v>5208</v>
      </c>
    </row>
    <row r="1136" spans="1:3" x14ac:dyDescent="0.2">
      <c r="A1136" t="str">
        <f t="shared" si="17"/>
        <v>return_code_3101</v>
      </c>
      <c r="B1136" t="s">
        <v>5209</v>
      </c>
      <c r="C1136" t="s">
        <v>5210</v>
      </c>
    </row>
    <row r="1137" spans="1:3" x14ac:dyDescent="0.2">
      <c r="A1137" t="str">
        <f t="shared" si="17"/>
        <v>return_code_3102</v>
      </c>
      <c r="B1137" t="s">
        <v>5211</v>
      </c>
      <c r="C1137" t="s">
        <v>5212</v>
      </c>
    </row>
    <row r="1138" spans="1:3" x14ac:dyDescent="0.2">
      <c r="A1138" t="str">
        <f t="shared" si="17"/>
        <v>return_code_3103</v>
      </c>
      <c r="B1138" t="s">
        <v>5213</v>
      </c>
      <c r="C1138" t="s">
        <v>5214</v>
      </c>
    </row>
    <row r="1139" spans="1:3" x14ac:dyDescent="0.2">
      <c r="A1139" t="str">
        <f t="shared" si="17"/>
        <v>return_code_3104</v>
      </c>
      <c r="B1139" t="s">
        <v>5215</v>
      </c>
      <c r="C1139" t="s">
        <v>5216</v>
      </c>
    </row>
    <row r="1140" spans="1:3" x14ac:dyDescent="0.2">
      <c r="A1140" t="str">
        <f t="shared" si="17"/>
        <v>return_code_3105</v>
      </c>
      <c r="B1140" t="s">
        <v>5217</v>
      </c>
      <c r="C1140" t="s">
        <v>5218</v>
      </c>
    </row>
    <row r="1141" spans="1:3" x14ac:dyDescent="0.2">
      <c r="A1141" t="str">
        <f t="shared" si="17"/>
        <v>return_code_3106</v>
      </c>
      <c r="B1141" t="s">
        <v>5219</v>
      </c>
      <c r="C1141" t="s">
        <v>5220</v>
      </c>
    </row>
    <row r="1142" spans="1:3" x14ac:dyDescent="0.2">
      <c r="A1142" t="str">
        <f t="shared" si="17"/>
        <v>return_code_3107</v>
      </c>
      <c r="B1142" t="s">
        <v>5221</v>
      </c>
      <c r="C1142" t="s">
        <v>5222</v>
      </c>
    </row>
    <row r="1143" spans="1:3" x14ac:dyDescent="0.2">
      <c r="A1143" t="str">
        <f t="shared" si="17"/>
        <v>return_code_3108</v>
      </c>
      <c r="B1143" t="s">
        <v>5223</v>
      </c>
      <c r="C1143" t="s">
        <v>5224</v>
      </c>
    </row>
    <row r="1144" spans="1:3" x14ac:dyDescent="0.2">
      <c r="A1144" t="str">
        <f t="shared" si="17"/>
        <v>return_code_3109</v>
      </c>
      <c r="B1144" t="s">
        <v>5225</v>
      </c>
      <c r="C1144" t="s">
        <v>5226</v>
      </c>
    </row>
    <row r="1145" spans="1:3" x14ac:dyDescent="0.2">
      <c r="A1145" t="str">
        <f t="shared" si="17"/>
        <v>return_code_3110</v>
      </c>
      <c r="B1145" t="s">
        <v>5227</v>
      </c>
      <c r="C1145" t="s">
        <v>5228</v>
      </c>
    </row>
    <row r="1146" spans="1:3" x14ac:dyDescent="0.2">
      <c r="A1146" t="str">
        <f t="shared" si="17"/>
        <v>return_code_3111</v>
      </c>
      <c r="B1146" t="s">
        <v>5229</v>
      </c>
      <c r="C1146" t="s">
        <v>5230</v>
      </c>
    </row>
    <row r="1147" spans="1:3" x14ac:dyDescent="0.2">
      <c r="A1147" t="str">
        <f t="shared" si="17"/>
        <v>return_code_3112</v>
      </c>
      <c r="B1147" t="s">
        <v>5231</v>
      </c>
      <c r="C1147" t="s">
        <v>5232</v>
      </c>
    </row>
    <row r="1148" spans="1:3" x14ac:dyDescent="0.2">
      <c r="A1148" t="str">
        <f t="shared" si="17"/>
        <v>return_code_3113</v>
      </c>
      <c r="B1148" t="s">
        <v>5233</v>
      </c>
      <c r="C1148" t="s">
        <v>5234</v>
      </c>
    </row>
    <row r="1149" spans="1:3" x14ac:dyDescent="0.2">
      <c r="A1149" t="str">
        <f t="shared" si="17"/>
        <v>return_code_3114</v>
      </c>
      <c r="B1149" t="s">
        <v>5235</v>
      </c>
      <c r="C1149" t="s">
        <v>5236</v>
      </c>
    </row>
    <row r="1150" spans="1:3" x14ac:dyDescent="0.2">
      <c r="A1150" t="str">
        <f t="shared" si="17"/>
        <v>return_code_3115</v>
      </c>
      <c r="B1150" t="s">
        <v>5237</v>
      </c>
      <c r="C1150" t="s">
        <v>5238</v>
      </c>
    </row>
    <row r="1151" spans="1:3" x14ac:dyDescent="0.2">
      <c r="A1151" t="str">
        <f t="shared" si="17"/>
        <v>return_code_3116</v>
      </c>
      <c r="B1151" t="s">
        <v>5239</v>
      </c>
      <c r="C1151" t="s">
        <v>5240</v>
      </c>
    </row>
    <row r="1152" spans="1:3" x14ac:dyDescent="0.2">
      <c r="A1152" t="str">
        <f t="shared" si="17"/>
        <v>return_code_3117</v>
      </c>
      <c r="B1152" t="s">
        <v>5241</v>
      </c>
      <c r="C1152" t="s">
        <v>5242</v>
      </c>
    </row>
    <row r="1153" spans="1:3" x14ac:dyDescent="0.2">
      <c r="A1153" t="str">
        <f t="shared" ref="A1153:A1216" si="18">CONCATENATE("return_code_",B1153)</f>
        <v>return_code_3118</v>
      </c>
      <c r="B1153" t="s">
        <v>5243</v>
      </c>
      <c r="C1153" t="s">
        <v>5244</v>
      </c>
    </row>
    <row r="1154" spans="1:3" x14ac:dyDescent="0.2">
      <c r="A1154" t="str">
        <f t="shared" si="18"/>
        <v>return_code_3119</v>
      </c>
      <c r="B1154" t="s">
        <v>5245</v>
      </c>
      <c r="C1154" t="s">
        <v>5246</v>
      </c>
    </row>
    <row r="1155" spans="1:3" x14ac:dyDescent="0.2">
      <c r="A1155" t="str">
        <f t="shared" si="18"/>
        <v>return_code_3120</v>
      </c>
      <c r="B1155" t="s">
        <v>5247</v>
      </c>
      <c r="C1155" t="s">
        <v>5248</v>
      </c>
    </row>
    <row r="1156" spans="1:3" x14ac:dyDescent="0.2">
      <c r="A1156" t="str">
        <f t="shared" si="18"/>
        <v>return_code_3121</v>
      </c>
      <c r="B1156" t="s">
        <v>5249</v>
      </c>
      <c r="C1156" t="s">
        <v>5250</v>
      </c>
    </row>
    <row r="1157" spans="1:3" x14ac:dyDescent="0.2">
      <c r="A1157" t="str">
        <f t="shared" si="18"/>
        <v>return_code_3122</v>
      </c>
      <c r="B1157" t="s">
        <v>5251</v>
      </c>
      <c r="C1157" t="s">
        <v>5252</v>
      </c>
    </row>
    <row r="1158" spans="1:3" x14ac:dyDescent="0.2">
      <c r="A1158" t="str">
        <f t="shared" si="18"/>
        <v>return_code_3123</v>
      </c>
      <c r="B1158" t="s">
        <v>5253</v>
      </c>
      <c r="C1158" t="s">
        <v>5254</v>
      </c>
    </row>
    <row r="1159" spans="1:3" x14ac:dyDescent="0.2">
      <c r="A1159" t="str">
        <f t="shared" si="18"/>
        <v>return_code_3124</v>
      </c>
      <c r="B1159" t="s">
        <v>5255</v>
      </c>
      <c r="C1159" t="s">
        <v>5256</v>
      </c>
    </row>
    <row r="1160" spans="1:3" x14ac:dyDescent="0.2">
      <c r="A1160" t="str">
        <f t="shared" si="18"/>
        <v>return_code_3125</v>
      </c>
      <c r="B1160" t="s">
        <v>5257</v>
      </c>
      <c r="C1160" t="s">
        <v>5258</v>
      </c>
    </row>
    <row r="1161" spans="1:3" x14ac:dyDescent="0.2">
      <c r="A1161" t="str">
        <f t="shared" si="18"/>
        <v>return_code_3126</v>
      </c>
      <c r="B1161" t="s">
        <v>5259</v>
      </c>
      <c r="C1161" t="s">
        <v>5260</v>
      </c>
    </row>
    <row r="1162" spans="1:3" x14ac:dyDescent="0.2">
      <c r="A1162" t="str">
        <f t="shared" si="18"/>
        <v>return_code_3127</v>
      </c>
      <c r="B1162" t="s">
        <v>5261</v>
      </c>
      <c r="C1162" t="s">
        <v>5262</v>
      </c>
    </row>
    <row r="1163" spans="1:3" x14ac:dyDescent="0.2">
      <c r="A1163" t="str">
        <f t="shared" si="18"/>
        <v>return_code_3128</v>
      </c>
      <c r="B1163" t="s">
        <v>5263</v>
      </c>
      <c r="C1163" t="s">
        <v>5264</v>
      </c>
    </row>
    <row r="1164" spans="1:3" x14ac:dyDescent="0.2">
      <c r="A1164" t="str">
        <f t="shared" si="18"/>
        <v>return_code_3129</v>
      </c>
      <c r="B1164" t="s">
        <v>5265</v>
      </c>
      <c r="C1164" t="s">
        <v>5266</v>
      </c>
    </row>
    <row r="1165" spans="1:3" x14ac:dyDescent="0.2">
      <c r="A1165" t="str">
        <f t="shared" si="18"/>
        <v>return_code_3130</v>
      </c>
      <c r="B1165" t="s">
        <v>5267</v>
      </c>
      <c r="C1165" t="s">
        <v>5268</v>
      </c>
    </row>
    <row r="1166" spans="1:3" x14ac:dyDescent="0.2">
      <c r="A1166" t="str">
        <f t="shared" si="18"/>
        <v>return_code_3131</v>
      </c>
      <c r="B1166" t="s">
        <v>5269</v>
      </c>
      <c r="C1166" t="s">
        <v>5270</v>
      </c>
    </row>
    <row r="1167" spans="1:3" x14ac:dyDescent="0.2">
      <c r="A1167" t="str">
        <f t="shared" si="18"/>
        <v>return_code_3132</v>
      </c>
      <c r="B1167" t="s">
        <v>5271</v>
      </c>
      <c r="C1167" t="s">
        <v>5272</v>
      </c>
    </row>
    <row r="1168" spans="1:3" x14ac:dyDescent="0.2">
      <c r="A1168" t="str">
        <f t="shared" si="18"/>
        <v>return_code_3133</v>
      </c>
      <c r="B1168" t="s">
        <v>5273</v>
      </c>
      <c r="C1168" t="s">
        <v>5274</v>
      </c>
    </row>
    <row r="1169" spans="1:3" x14ac:dyDescent="0.2">
      <c r="A1169" t="str">
        <f t="shared" si="18"/>
        <v>return_code_3134</v>
      </c>
      <c r="B1169" t="s">
        <v>5275</v>
      </c>
      <c r="C1169" t="s">
        <v>5276</v>
      </c>
    </row>
    <row r="1170" spans="1:3" x14ac:dyDescent="0.2">
      <c r="A1170" t="str">
        <f t="shared" si="18"/>
        <v>return_code_3135</v>
      </c>
      <c r="B1170" t="s">
        <v>5277</v>
      </c>
      <c r="C1170" t="s">
        <v>5278</v>
      </c>
    </row>
    <row r="1171" spans="1:3" x14ac:dyDescent="0.2">
      <c r="A1171" t="str">
        <f t="shared" si="18"/>
        <v>return_code_3136</v>
      </c>
      <c r="B1171" t="s">
        <v>5279</v>
      </c>
      <c r="C1171" t="s">
        <v>5280</v>
      </c>
    </row>
    <row r="1172" spans="1:3" x14ac:dyDescent="0.2">
      <c r="A1172" t="str">
        <f t="shared" si="18"/>
        <v>return_code_3137</v>
      </c>
      <c r="B1172" t="s">
        <v>5281</v>
      </c>
      <c r="C1172" t="s">
        <v>5282</v>
      </c>
    </row>
    <row r="1173" spans="1:3" x14ac:dyDescent="0.2">
      <c r="A1173" t="str">
        <f t="shared" si="18"/>
        <v>return_code_3138</v>
      </c>
      <c r="B1173" t="s">
        <v>5283</v>
      </c>
      <c r="C1173" t="s">
        <v>5284</v>
      </c>
    </row>
    <row r="1174" spans="1:3" x14ac:dyDescent="0.2">
      <c r="A1174" t="str">
        <f t="shared" si="18"/>
        <v>return_code_3139</v>
      </c>
      <c r="B1174" t="s">
        <v>5285</v>
      </c>
      <c r="C1174" t="s">
        <v>5286</v>
      </c>
    </row>
    <row r="1175" spans="1:3" x14ac:dyDescent="0.2">
      <c r="A1175" t="str">
        <f t="shared" si="18"/>
        <v>return_code_3140</v>
      </c>
      <c r="B1175" t="s">
        <v>5287</v>
      </c>
      <c r="C1175" t="s">
        <v>5288</v>
      </c>
    </row>
    <row r="1176" spans="1:3" x14ac:dyDescent="0.2">
      <c r="A1176" t="str">
        <f t="shared" si="18"/>
        <v>return_code_3141</v>
      </c>
      <c r="B1176" t="s">
        <v>5289</v>
      </c>
      <c r="C1176" t="s">
        <v>5290</v>
      </c>
    </row>
    <row r="1177" spans="1:3" x14ac:dyDescent="0.2">
      <c r="A1177" t="str">
        <f t="shared" si="18"/>
        <v>return_code_3142</v>
      </c>
      <c r="B1177" t="s">
        <v>5291</v>
      </c>
      <c r="C1177" t="s">
        <v>5292</v>
      </c>
    </row>
    <row r="1178" spans="1:3" x14ac:dyDescent="0.2">
      <c r="A1178" t="str">
        <f t="shared" si="18"/>
        <v>return_code_3143</v>
      </c>
      <c r="B1178" t="s">
        <v>5293</v>
      </c>
      <c r="C1178" t="s">
        <v>5294</v>
      </c>
    </row>
    <row r="1179" spans="1:3" x14ac:dyDescent="0.2">
      <c r="A1179" t="str">
        <f t="shared" si="18"/>
        <v>return_code_3144</v>
      </c>
      <c r="B1179" t="s">
        <v>5295</v>
      </c>
      <c r="C1179" t="s">
        <v>5296</v>
      </c>
    </row>
    <row r="1180" spans="1:3" x14ac:dyDescent="0.2">
      <c r="A1180" t="str">
        <f t="shared" si="18"/>
        <v>return_code_3145</v>
      </c>
      <c r="B1180" t="s">
        <v>5297</v>
      </c>
      <c r="C1180" t="s">
        <v>5298</v>
      </c>
    </row>
    <row r="1181" spans="1:3" x14ac:dyDescent="0.2">
      <c r="A1181" t="str">
        <f t="shared" si="18"/>
        <v>return_code_3146</v>
      </c>
      <c r="B1181" t="s">
        <v>5299</v>
      </c>
      <c r="C1181" t="s">
        <v>5300</v>
      </c>
    </row>
    <row r="1182" spans="1:3" x14ac:dyDescent="0.2">
      <c r="A1182" t="str">
        <f t="shared" si="18"/>
        <v>return_code_3147</v>
      </c>
      <c r="B1182" t="s">
        <v>5301</v>
      </c>
      <c r="C1182" t="s">
        <v>5302</v>
      </c>
    </row>
    <row r="1183" spans="1:3" x14ac:dyDescent="0.2">
      <c r="A1183" t="str">
        <f t="shared" si="18"/>
        <v>return_code_3148</v>
      </c>
      <c r="B1183" t="s">
        <v>5303</v>
      </c>
      <c r="C1183" t="s">
        <v>5304</v>
      </c>
    </row>
    <row r="1184" spans="1:3" x14ac:dyDescent="0.2">
      <c r="A1184" t="str">
        <f t="shared" si="18"/>
        <v>return_code_3149</v>
      </c>
      <c r="B1184" t="s">
        <v>5305</v>
      </c>
      <c r="C1184" t="s">
        <v>5306</v>
      </c>
    </row>
    <row r="1185" spans="1:3" x14ac:dyDescent="0.2">
      <c r="A1185" t="str">
        <f t="shared" si="18"/>
        <v>return_code_3150</v>
      </c>
      <c r="B1185" t="s">
        <v>5307</v>
      </c>
      <c r="C1185" t="s">
        <v>5308</v>
      </c>
    </row>
    <row r="1186" spans="1:3" x14ac:dyDescent="0.2">
      <c r="A1186" t="str">
        <f t="shared" si="18"/>
        <v>return_code_3151</v>
      </c>
      <c r="B1186" t="s">
        <v>5309</v>
      </c>
      <c r="C1186" t="s">
        <v>5310</v>
      </c>
    </row>
    <row r="1187" spans="1:3" x14ac:dyDescent="0.2">
      <c r="A1187" t="str">
        <f t="shared" si="18"/>
        <v>return_code_3152</v>
      </c>
      <c r="B1187" t="s">
        <v>5311</v>
      </c>
      <c r="C1187" t="s">
        <v>5312</v>
      </c>
    </row>
    <row r="1188" spans="1:3" x14ac:dyDescent="0.2">
      <c r="A1188" t="str">
        <f t="shared" si="18"/>
        <v>return_code_3153</v>
      </c>
      <c r="B1188" t="s">
        <v>5313</v>
      </c>
      <c r="C1188" t="s">
        <v>5314</v>
      </c>
    </row>
    <row r="1189" spans="1:3" x14ac:dyDescent="0.2">
      <c r="A1189" t="str">
        <f t="shared" si="18"/>
        <v>return_code_3154</v>
      </c>
      <c r="B1189" t="s">
        <v>5315</v>
      </c>
      <c r="C1189" t="s">
        <v>5316</v>
      </c>
    </row>
    <row r="1190" spans="1:3" x14ac:dyDescent="0.2">
      <c r="A1190" t="str">
        <f t="shared" si="18"/>
        <v>return_code_3155</v>
      </c>
      <c r="B1190" t="s">
        <v>5317</v>
      </c>
      <c r="C1190" t="s">
        <v>5318</v>
      </c>
    </row>
    <row r="1191" spans="1:3" x14ac:dyDescent="0.2">
      <c r="A1191" t="str">
        <f t="shared" si="18"/>
        <v>return_code_3156</v>
      </c>
      <c r="B1191" t="s">
        <v>5319</v>
      </c>
      <c r="C1191" t="s">
        <v>5320</v>
      </c>
    </row>
    <row r="1192" spans="1:3" x14ac:dyDescent="0.2">
      <c r="A1192" t="str">
        <f t="shared" si="18"/>
        <v>return_code_3157</v>
      </c>
      <c r="B1192" t="s">
        <v>5321</v>
      </c>
      <c r="C1192" t="s">
        <v>5322</v>
      </c>
    </row>
    <row r="1193" spans="1:3" x14ac:dyDescent="0.2">
      <c r="A1193" t="str">
        <f t="shared" si="18"/>
        <v>return_code_3158</v>
      </c>
      <c r="B1193" t="s">
        <v>5323</v>
      </c>
      <c r="C1193" t="s">
        <v>5324</v>
      </c>
    </row>
    <row r="1194" spans="1:3" x14ac:dyDescent="0.2">
      <c r="A1194" t="str">
        <f t="shared" si="18"/>
        <v>return_code_3159</v>
      </c>
      <c r="B1194" t="s">
        <v>5325</v>
      </c>
      <c r="C1194" t="s">
        <v>5326</v>
      </c>
    </row>
    <row r="1195" spans="1:3" x14ac:dyDescent="0.2">
      <c r="A1195" t="str">
        <f t="shared" si="18"/>
        <v>return_code_3160</v>
      </c>
      <c r="B1195" t="s">
        <v>5327</v>
      </c>
      <c r="C1195" t="s">
        <v>5328</v>
      </c>
    </row>
    <row r="1196" spans="1:3" x14ac:dyDescent="0.2">
      <c r="A1196" t="str">
        <f t="shared" si="18"/>
        <v>return_code_3161</v>
      </c>
      <c r="B1196" t="s">
        <v>5329</v>
      </c>
      <c r="C1196" t="s">
        <v>5330</v>
      </c>
    </row>
    <row r="1197" spans="1:3" x14ac:dyDescent="0.2">
      <c r="A1197" t="str">
        <f t="shared" si="18"/>
        <v>return_code_3162</v>
      </c>
      <c r="B1197" t="s">
        <v>5331</v>
      </c>
      <c r="C1197" t="s">
        <v>5332</v>
      </c>
    </row>
    <row r="1198" spans="1:3" x14ac:dyDescent="0.2">
      <c r="A1198" t="str">
        <f t="shared" si="18"/>
        <v>return_code_3163</v>
      </c>
      <c r="B1198" t="s">
        <v>5333</v>
      </c>
      <c r="C1198" t="s">
        <v>5334</v>
      </c>
    </row>
    <row r="1199" spans="1:3" x14ac:dyDescent="0.2">
      <c r="A1199" t="str">
        <f t="shared" si="18"/>
        <v>return_code_3164</v>
      </c>
      <c r="B1199" t="s">
        <v>5335</v>
      </c>
      <c r="C1199" t="s">
        <v>5336</v>
      </c>
    </row>
    <row r="1200" spans="1:3" x14ac:dyDescent="0.2">
      <c r="A1200" t="str">
        <f t="shared" si="18"/>
        <v>return_code_3165</v>
      </c>
      <c r="B1200" t="s">
        <v>5337</v>
      </c>
      <c r="C1200" t="s">
        <v>5338</v>
      </c>
    </row>
    <row r="1201" spans="1:3" x14ac:dyDescent="0.2">
      <c r="A1201" t="str">
        <f t="shared" si="18"/>
        <v>return_code_3166</v>
      </c>
      <c r="B1201" t="s">
        <v>5339</v>
      </c>
      <c r="C1201" t="s">
        <v>5340</v>
      </c>
    </row>
    <row r="1202" spans="1:3" x14ac:dyDescent="0.2">
      <c r="A1202" t="str">
        <f t="shared" si="18"/>
        <v>return_code_3167</v>
      </c>
      <c r="B1202" t="s">
        <v>5341</v>
      </c>
      <c r="C1202" t="s">
        <v>5342</v>
      </c>
    </row>
    <row r="1203" spans="1:3" x14ac:dyDescent="0.2">
      <c r="A1203" t="str">
        <f t="shared" si="18"/>
        <v>return_code_3168</v>
      </c>
      <c r="B1203" t="s">
        <v>5343</v>
      </c>
      <c r="C1203" t="s">
        <v>5344</v>
      </c>
    </row>
    <row r="1204" spans="1:3" x14ac:dyDescent="0.2">
      <c r="A1204" t="str">
        <f t="shared" si="18"/>
        <v>return_code_3169</v>
      </c>
      <c r="B1204" t="s">
        <v>5345</v>
      </c>
      <c r="C1204" t="s">
        <v>5346</v>
      </c>
    </row>
    <row r="1205" spans="1:3" x14ac:dyDescent="0.2">
      <c r="A1205" t="str">
        <f t="shared" si="18"/>
        <v>return_code_3170</v>
      </c>
      <c r="B1205" t="s">
        <v>5347</v>
      </c>
      <c r="C1205" t="s">
        <v>5348</v>
      </c>
    </row>
    <row r="1206" spans="1:3" x14ac:dyDescent="0.2">
      <c r="A1206" t="str">
        <f t="shared" si="18"/>
        <v>return_code_3171</v>
      </c>
      <c r="B1206" t="s">
        <v>5349</v>
      </c>
      <c r="C1206" t="s">
        <v>5350</v>
      </c>
    </row>
    <row r="1207" spans="1:3" x14ac:dyDescent="0.2">
      <c r="A1207" t="str">
        <f t="shared" si="18"/>
        <v>return_code_3172</v>
      </c>
      <c r="B1207" t="s">
        <v>5351</v>
      </c>
      <c r="C1207" t="s">
        <v>5352</v>
      </c>
    </row>
    <row r="1208" spans="1:3" x14ac:dyDescent="0.2">
      <c r="A1208" t="str">
        <f t="shared" si="18"/>
        <v>return_code_3173</v>
      </c>
      <c r="B1208" t="s">
        <v>5353</v>
      </c>
      <c r="C1208" t="s">
        <v>5354</v>
      </c>
    </row>
    <row r="1209" spans="1:3" x14ac:dyDescent="0.2">
      <c r="A1209" t="str">
        <f t="shared" si="18"/>
        <v>return_code_3174</v>
      </c>
      <c r="B1209" t="s">
        <v>5355</v>
      </c>
      <c r="C1209" t="s">
        <v>5356</v>
      </c>
    </row>
    <row r="1210" spans="1:3" x14ac:dyDescent="0.2">
      <c r="A1210" t="str">
        <f t="shared" si="18"/>
        <v>return_code_3175</v>
      </c>
      <c r="B1210" t="s">
        <v>5357</v>
      </c>
      <c r="C1210" t="s">
        <v>5358</v>
      </c>
    </row>
    <row r="1211" spans="1:3" x14ac:dyDescent="0.2">
      <c r="A1211" t="str">
        <f t="shared" si="18"/>
        <v>return_code_3176</v>
      </c>
      <c r="B1211" t="s">
        <v>5359</v>
      </c>
      <c r="C1211" t="s">
        <v>5360</v>
      </c>
    </row>
    <row r="1212" spans="1:3" x14ac:dyDescent="0.2">
      <c r="A1212" t="str">
        <f t="shared" si="18"/>
        <v>return_code_3177</v>
      </c>
      <c r="B1212" t="s">
        <v>5361</v>
      </c>
      <c r="C1212" t="s">
        <v>5362</v>
      </c>
    </row>
    <row r="1213" spans="1:3" x14ac:dyDescent="0.2">
      <c r="A1213" t="str">
        <f t="shared" si="18"/>
        <v>return_code_3178</v>
      </c>
      <c r="B1213" t="s">
        <v>5363</v>
      </c>
      <c r="C1213" t="s">
        <v>5364</v>
      </c>
    </row>
    <row r="1214" spans="1:3" x14ac:dyDescent="0.2">
      <c r="A1214" t="str">
        <f t="shared" si="18"/>
        <v>return_code_3179</v>
      </c>
      <c r="B1214" t="s">
        <v>5365</v>
      </c>
      <c r="C1214" t="s">
        <v>5366</v>
      </c>
    </row>
    <row r="1215" spans="1:3" x14ac:dyDescent="0.2">
      <c r="A1215" t="str">
        <f t="shared" si="18"/>
        <v>return_code_3180</v>
      </c>
      <c r="B1215" t="s">
        <v>5367</v>
      </c>
      <c r="C1215" t="s">
        <v>5368</v>
      </c>
    </row>
    <row r="1216" spans="1:3" x14ac:dyDescent="0.2">
      <c r="A1216" t="str">
        <f t="shared" si="18"/>
        <v>return_code_3181</v>
      </c>
      <c r="B1216" t="s">
        <v>5369</v>
      </c>
      <c r="C1216" t="s">
        <v>5370</v>
      </c>
    </row>
    <row r="1217" spans="1:3" x14ac:dyDescent="0.2">
      <c r="A1217" t="str">
        <f t="shared" ref="A1217:A1280" si="19">CONCATENATE("return_code_",B1217)</f>
        <v>return_code_3182</v>
      </c>
      <c r="B1217" t="s">
        <v>5371</v>
      </c>
      <c r="C1217" t="s">
        <v>5372</v>
      </c>
    </row>
    <row r="1218" spans="1:3" x14ac:dyDescent="0.2">
      <c r="A1218" t="str">
        <f t="shared" si="19"/>
        <v>return_code_3183</v>
      </c>
      <c r="B1218" t="s">
        <v>5373</v>
      </c>
      <c r="C1218" t="s">
        <v>5374</v>
      </c>
    </row>
    <row r="1219" spans="1:3" x14ac:dyDescent="0.2">
      <c r="A1219" t="str">
        <f t="shared" si="19"/>
        <v>return_code_3184</v>
      </c>
      <c r="B1219" t="s">
        <v>5375</v>
      </c>
      <c r="C1219" t="s">
        <v>5376</v>
      </c>
    </row>
    <row r="1220" spans="1:3" x14ac:dyDescent="0.2">
      <c r="A1220" t="str">
        <f t="shared" si="19"/>
        <v>return_code_3185</v>
      </c>
      <c r="B1220" t="s">
        <v>5377</v>
      </c>
      <c r="C1220" t="s">
        <v>5378</v>
      </c>
    </row>
    <row r="1221" spans="1:3" x14ac:dyDescent="0.2">
      <c r="A1221" t="str">
        <f t="shared" si="19"/>
        <v>return_code_3186</v>
      </c>
      <c r="B1221" t="s">
        <v>5379</v>
      </c>
      <c r="C1221" t="s">
        <v>5380</v>
      </c>
    </row>
    <row r="1222" spans="1:3" x14ac:dyDescent="0.2">
      <c r="A1222" t="str">
        <f t="shared" si="19"/>
        <v>return_code_3187</v>
      </c>
      <c r="B1222" t="s">
        <v>5381</v>
      </c>
      <c r="C1222" t="s">
        <v>5382</v>
      </c>
    </row>
    <row r="1223" spans="1:3" x14ac:dyDescent="0.2">
      <c r="A1223" t="str">
        <f t="shared" si="19"/>
        <v>return_code_3188</v>
      </c>
      <c r="B1223" t="s">
        <v>5383</v>
      </c>
      <c r="C1223" t="s">
        <v>5384</v>
      </c>
    </row>
    <row r="1224" spans="1:3" x14ac:dyDescent="0.2">
      <c r="A1224" t="str">
        <f t="shared" si="19"/>
        <v>return_code_3189</v>
      </c>
      <c r="B1224" t="s">
        <v>5385</v>
      </c>
      <c r="C1224" t="s">
        <v>5386</v>
      </c>
    </row>
    <row r="1225" spans="1:3" x14ac:dyDescent="0.2">
      <c r="A1225" t="str">
        <f t="shared" si="19"/>
        <v>return_code_3190</v>
      </c>
      <c r="B1225" t="s">
        <v>5387</v>
      </c>
      <c r="C1225" t="s">
        <v>5388</v>
      </c>
    </row>
    <row r="1226" spans="1:3" x14ac:dyDescent="0.2">
      <c r="A1226" t="str">
        <f t="shared" si="19"/>
        <v>return_code_3191</v>
      </c>
      <c r="B1226" t="s">
        <v>5389</v>
      </c>
      <c r="C1226" t="s">
        <v>5390</v>
      </c>
    </row>
    <row r="1227" spans="1:3" x14ac:dyDescent="0.2">
      <c r="A1227" t="str">
        <f t="shared" si="19"/>
        <v>return_code_3192</v>
      </c>
      <c r="B1227" t="s">
        <v>5391</v>
      </c>
      <c r="C1227" t="s">
        <v>5392</v>
      </c>
    </row>
    <row r="1228" spans="1:3" x14ac:dyDescent="0.2">
      <c r="A1228" t="str">
        <f t="shared" si="19"/>
        <v>return_code_3193</v>
      </c>
      <c r="B1228" t="s">
        <v>5393</v>
      </c>
      <c r="C1228" t="s">
        <v>5394</v>
      </c>
    </row>
    <row r="1229" spans="1:3" x14ac:dyDescent="0.2">
      <c r="A1229" t="str">
        <f t="shared" si="19"/>
        <v>return_code_3194</v>
      </c>
      <c r="B1229" t="s">
        <v>5395</v>
      </c>
      <c r="C1229" t="s">
        <v>5396</v>
      </c>
    </row>
    <row r="1230" spans="1:3" x14ac:dyDescent="0.2">
      <c r="A1230" t="str">
        <f t="shared" si="19"/>
        <v>return_code_3195</v>
      </c>
      <c r="B1230" t="s">
        <v>5397</v>
      </c>
      <c r="C1230" t="s">
        <v>5398</v>
      </c>
    </row>
    <row r="1231" spans="1:3" x14ac:dyDescent="0.2">
      <c r="A1231" t="str">
        <f t="shared" si="19"/>
        <v>return_code_3196</v>
      </c>
      <c r="B1231" t="s">
        <v>5399</v>
      </c>
      <c r="C1231" t="s">
        <v>5400</v>
      </c>
    </row>
    <row r="1232" spans="1:3" x14ac:dyDescent="0.2">
      <c r="A1232" t="str">
        <f t="shared" si="19"/>
        <v>return_code_3197</v>
      </c>
      <c r="B1232" t="s">
        <v>5401</v>
      </c>
      <c r="C1232" t="s">
        <v>5402</v>
      </c>
    </row>
    <row r="1233" spans="1:3" x14ac:dyDescent="0.2">
      <c r="A1233" t="str">
        <f t="shared" si="19"/>
        <v>return_code_3198</v>
      </c>
      <c r="B1233" t="s">
        <v>5403</v>
      </c>
      <c r="C1233" t="s">
        <v>5404</v>
      </c>
    </row>
    <row r="1234" spans="1:3" x14ac:dyDescent="0.2">
      <c r="A1234" t="str">
        <f t="shared" si="19"/>
        <v>return_code_3199</v>
      </c>
      <c r="B1234" t="s">
        <v>5405</v>
      </c>
      <c r="C1234" t="s">
        <v>5406</v>
      </c>
    </row>
    <row r="1235" spans="1:3" x14ac:dyDescent="0.2">
      <c r="A1235" t="str">
        <f t="shared" si="19"/>
        <v>return_code_3200</v>
      </c>
      <c r="B1235" t="s">
        <v>5407</v>
      </c>
      <c r="C1235" t="s">
        <v>5408</v>
      </c>
    </row>
    <row r="1236" spans="1:3" x14ac:dyDescent="0.2">
      <c r="A1236" t="str">
        <f t="shared" si="19"/>
        <v>return_code_3201</v>
      </c>
      <c r="B1236" t="s">
        <v>5409</v>
      </c>
      <c r="C1236" t="s">
        <v>5410</v>
      </c>
    </row>
    <row r="1237" spans="1:3" x14ac:dyDescent="0.2">
      <c r="A1237" t="str">
        <f t="shared" si="19"/>
        <v>return_code_3202</v>
      </c>
      <c r="B1237" t="s">
        <v>5411</v>
      </c>
      <c r="C1237" t="s">
        <v>5412</v>
      </c>
    </row>
    <row r="1238" spans="1:3" x14ac:dyDescent="0.2">
      <c r="A1238" t="str">
        <f t="shared" si="19"/>
        <v>return_code_3203</v>
      </c>
      <c r="B1238" t="s">
        <v>5413</v>
      </c>
      <c r="C1238" t="s">
        <v>5414</v>
      </c>
    </row>
    <row r="1239" spans="1:3" x14ac:dyDescent="0.2">
      <c r="A1239" t="str">
        <f t="shared" si="19"/>
        <v>return_code_3204</v>
      </c>
      <c r="B1239" t="s">
        <v>5415</v>
      </c>
      <c r="C1239" t="s">
        <v>5416</v>
      </c>
    </row>
    <row r="1240" spans="1:3" x14ac:dyDescent="0.2">
      <c r="A1240" t="str">
        <f t="shared" si="19"/>
        <v>return_code_3205</v>
      </c>
      <c r="B1240" t="s">
        <v>5417</v>
      </c>
      <c r="C1240" t="s">
        <v>5418</v>
      </c>
    </row>
    <row r="1241" spans="1:3" x14ac:dyDescent="0.2">
      <c r="A1241" t="str">
        <f t="shared" si="19"/>
        <v>return_code_3206</v>
      </c>
      <c r="B1241" t="s">
        <v>5419</v>
      </c>
      <c r="C1241" t="s">
        <v>5420</v>
      </c>
    </row>
    <row r="1242" spans="1:3" x14ac:dyDescent="0.2">
      <c r="A1242" t="str">
        <f t="shared" si="19"/>
        <v>return_code_3207</v>
      </c>
      <c r="B1242" t="s">
        <v>5421</v>
      </c>
      <c r="C1242" t="s">
        <v>5422</v>
      </c>
    </row>
    <row r="1243" spans="1:3" x14ac:dyDescent="0.2">
      <c r="A1243" t="str">
        <f t="shared" si="19"/>
        <v>return_code_3208</v>
      </c>
      <c r="B1243" t="s">
        <v>5423</v>
      </c>
      <c r="C1243" t="s">
        <v>5424</v>
      </c>
    </row>
    <row r="1244" spans="1:3" x14ac:dyDescent="0.2">
      <c r="A1244" t="str">
        <f t="shared" si="19"/>
        <v>return_code_3209</v>
      </c>
      <c r="B1244" t="s">
        <v>5425</v>
      </c>
      <c r="C1244" t="s">
        <v>5426</v>
      </c>
    </row>
    <row r="1245" spans="1:3" x14ac:dyDescent="0.2">
      <c r="A1245" t="str">
        <f t="shared" si="19"/>
        <v>return_code_3210</v>
      </c>
      <c r="B1245" t="s">
        <v>5427</v>
      </c>
      <c r="C1245" t="s">
        <v>5428</v>
      </c>
    </row>
    <row r="1246" spans="1:3" x14ac:dyDescent="0.2">
      <c r="A1246" t="str">
        <f t="shared" si="19"/>
        <v>return_code_3211</v>
      </c>
      <c r="B1246" t="s">
        <v>2732</v>
      </c>
      <c r="C1246" t="s">
        <v>5429</v>
      </c>
    </row>
    <row r="1247" spans="1:3" x14ac:dyDescent="0.2">
      <c r="A1247" t="str">
        <f t="shared" si="19"/>
        <v>return_code_3212</v>
      </c>
      <c r="B1247" t="s">
        <v>2734</v>
      </c>
      <c r="C1247" t="s">
        <v>5430</v>
      </c>
    </row>
    <row r="1248" spans="1:3" x14ac:dyDescent="0.2">
      <c r="A1248" t="str">
        <f t="shared" si="19"/>
        <v>return_code_3213</v>
      </c>
      <c r="B1248" t="s">
        <v>5431</v>
      </c>
      <c r="C1248" t="s">
        <v>5432</v>
      </c>
    </row>
    <row r="1249" spans="1:3" x14ac:dyDescent="0.2">
      <c r="A1249" t="str">
        <f t="shared" si="19"/>
        <v>return_code_3214</v>
      </c>
      <c r="B1249" t="s">
        <v>5433</v>
      </c>
      <c r="C1249" t="s">
        <v>5434</v>
      </c>
    </row>
    <row r="1250" spans="1:3" x14ac:dyDescent="0.2">
      <c r="A1250" t="str">
        <f t="shared" si="19"/>
        <v>return_code_3215</v>
      </c>
      <c r="B1250" t="s">
        <v>5435</v>
      </c>
      <c r="C1250" t="s">
        <v>5436</v>
      </c>
    </row>
    <row r="1251" spans="1:3" x14ac:dyDescent="0.2">
      <c r="A1251" t="str">
        <f t="shared" si="19"/>
        <v>return_code_3216</v>
      </c>
      <c r="B1251" t="s">
        <v>5437</v>
      </c>
      <c r="C1251" t="s">
        <v>5438</v>
      </c>
    </row>
    <row r="1252" spans="1:3" x14ac:dyDescent="0.2">
      <c r="A1252" t="str">
        <f t="shared" si="19"/>
        <v>return_code_3217</v>
      </c>
      <c r="B1252" t="s">
        <v>5439</v>
      </c>
      <c r="C1252" t="s">
        <v>5440</v>
      </c>
    </row>
    <row r="1253" spans="1:3" x14ac:dyDescent="0.2">
      <c r="A1253" t="str">
        <f t="shared" si="19"/>
        <v>return_code_3218</v>
      </c>
      <c r="B1253" t="s">
        <v>5441</v>
      </c>
      <c r="C1253" t="s">
        <v>5442</v>
      </c>
    </row>
    <row r="1254" spans="1:3" x14ac:dyDescent="0.2">
      <c r="A1254" t="str">
        <f t="shared" si="19"/>
        <v>return_code_3219</v>
      </c>
      <c r="B1254" t="s">
        <v>5443</v>
      </c>
      <c r="C1254" t="s">
        <v>5444</v>
      </c>
    </row>
    <row r="1255" spans="1:3" x14ac:dyDescent="0.2">
      <c r="A1255" t="str">
        <f t="shared" si="19"/>
        <v>return_code_3220</v>
      </c>
      <c r="B1255" t="s">
        <v>2736</v>
      </c>
      <c r="C1255" t="s">
        <v>5445</v>
      </c>
    </row>
    <row r="1256" spans="1:3" x14ac:dyDescent="0.2">
      <c r="A1256" t="str">
        <f t="shared" si="19"/>
        <v>return_code_3221</v>
      </c>
      <c r="B1256" t="s">
        <v>5446</v>
      </c>
      <c r="C1256" t="s">
        <v>5447</v>
      </c>
    </row>
    <row r="1257" spans="1:3" x14ac:dyDescent="0.2">
      <c r="A1257" t="str">
        <f t="shared" si="19"/>
        <v>return_code_3222</v>
      </c>
      <c r="B1257" t="s">
        <v>5448</v>
      </c>
      <c r="C1257" t="s">
        <v>5449</v>
      </c>
    </row>
    <row r="1258" spans="1:3" x14ac:dyDescent="0.2">
      <c r="A1258" t="str">
        <f t="shared" si="19"/>
        <v>return_code_3223</v>
      </c>
      <c r="B1258" t="s">
        <v>5450</v>
      </c>
      <c r="C1258" t="s">
        <v>5451</v>
      </c>
    </row>
    <row r="1259" spans="1:3" x14ac:dyDescent="0.2">
      <c r="A1259" t="str">
        <f t="shared" si="19"/>
        <v>return_code_3224</v>
      </c>
      <c r="B1259" t="s">
        <v>5452</v>
      </c>
      <c r="C1259" t="s">
        <v>5453</v>
      </c>
    </row>
    <row r="1260" spans="1:3" x14ac:dyDescent="0.2">
      <c r="A1260" t="str">
        <f t="shared" si="19"/>
        <v>return_code_3225</v>
      </c>
      <c r="B1260" t="s">
        <v>5454</v>
      </c>
      <c r="C1260" t="s">
        <v>5455</v>
      </c>
    </row>
    <row r="1261" spans="1:3" x14ac:dyDescent="0.2">
      <c r="A1261" t="str">
        <f t="shared" si="19"/>
        <v>return_code_3226</v>
      </c>
      <c r="B1261" t="s">
        <v>5456</v>
      </c>
      <c r="C1261" t="s">
        <v>5457</v>
      </c>
    </row>
    <row r="1262" spans="1:3" x14ac:dyDescent="0.2">
      <c r="A1262" t="str">
        <f t="shared" si="19"/>
        <v>return_code_3227</v>
      </c>
      <c r="B1262" t="s">
        <v>5458</v>
      </c>
      <c r="C1262" t="s">
        <v>5459</v>
      </c>
    </row>
    <row r="1263" spans="1:3" x14ac:dyDescent="0.2">
      <c r="A1263" t="str">
        <f t="shared" si="19"/>
        <v>return_code_3228</v>
      </c>
      <c r="B1263" t="s">
        <v>5460</v>
      </c>
      <c r="C1263" t="s">
        <v>5461</v>
      </c>
    </row>
    <row r="1264" spans="1:3" x14ac:dyDescent="0.2">
      <c r="A1264" t="str">
        <f t="shared" si="19"/>
        <v>return_code_3229</v>
      </c>
      <c r="B1264" t="s">
        <v>5462</v>
      </c>
      <c r="C1264" t="s">
        <v>5463</v>
      </c>
    </row>
    <row r="1265" spans="1:3" x14ac:dyDescent="0.2">
      <c r="A1265" t="str">
        <f t="shared" si="19"/>
        <v>return_code_3230</v>
      </c>
      <c r="B1265" t="s">
        <v>2738</v>
      </c>
      <c r="C1265" t="s">
        <v>5464</v>
      </c>
    </row>
    <row r="1266" spans="1:3" x14ac:dyDescent="0.2">
      <c r="A1266" t="str">
        <f t="shared" si="19"/>
        <v>return_code_3231</v>
      </c>
      <c r="B1266" t="s">
        <v>5465</v>
      </c>
      <c r="C1266" t="s">
        <v>5466</v>
      </c>
    </row>
    <row r="1267" spans="1:3" x14ac:dyDescent="0.2">
      <c r="A1267" t="str">
        <f t="shared" si="19"/>
        <v>return_code_3232</v>
      </c>
      <c r="B1267" t="s">
        <v>5467</v>
      </c>
      <c r="C1267" t="s">
        <v>5468</v>
      </c>
    </row>
    <row r="1268" spans="1:3" x14ac:dyDescent="0.2">
      <c r="A1268" t="str">
        <f t="shared" si="19"/>
        <v>return_code_3233</v>
      </c>
      <c r="B1268" t="s">
        <v>5469</v>
      </c>
      <c r="C1268" t="s">
        <v>5470</v>
      </c>
    </row>
    <row r="1269" spans="1:3" x14ac:dyDescent="0.2">
      <c r="A1269" t="str">
        <f t="shared" si="19"/>
        <v>return_code_3234</v>
      </c>
      <c r="B1269" t="s">
        <v>5471</v>
      </c>
      <c r="C1269" t="s">
        <v>5472</v>
      </c>
    </row>
    <row r="1270" spans="1:3" x14ac:dyDescent="0.2">
      <c r="A1270" t="str">
        <f t="shared" si="19"/>
        <v>return_code_3235</v>
      </c>
      <c r="B1270" t="s">
        <v>5473</v>
      </c>
      <c r="C1270" t="s">
        <v>5474</v>
      </c>
    </row>
    <row r="1271" spans="1:3" x14ac:dyDescent="0.2">
      <c r="A1271" t="str">
        <f t="shared" si="19"/>
        <v>return_code_3236</v>
      </c>
      <c r="B1271" t="s">
        <v>5475</v>
      </c>
      <c r="C1271" t="s">
        <v>5476</v>
      </c>
    </row>
    <row r="1272" spans="1:3" x14ac:dyDescent="0.2">
      <c r="A1272" t="str">
        <f t="shared" si="19"/>
        <v>return_code_3237</v>
      </c>
      <c r="B1272" t="s">
        <v>5477</v>
      </c>
      <c r="C1272" t="s">
        <v>5478</v>
      </c>
    </row>
    <row r="1273" spans="1:3" x14ac:dyDescent="0.2">
      <c r="A1273" t="str">
        <f t="shared" si="19"/>
        <v>return_code_3238</v>
      </c>
      <c r="B1273" t="s">
        <v>5479</v>
      </c>
      <c r="C1273" t="s">
        <v>5480</v>
      </c>
    </row>
    <row r="1274" spans="1:3" x14ac:dyDescent="0.2">
      <c r="A1274" t="str">
        <f t="shared" si="19"/>
        <v>return_code_3240</v>
      </c>
      <c r="B1274" t="s">
        <v>2740</v>
      </c>
      <c r="C1274" t="s">
        <v>5481</v>
      </c>
    </row>
    <row r="1275" spans="1:3" x14ac:dyDescent="0.2">
      <c r="A1275" t="str">
        <f t="shared" si="19"/>
        <v>return_code_4000</v>
      </c>
      <c r="B1275" t="s">
        <v>1801</v>
      </c>
      <c r="C1275" t="s">
        <v>5482</v>
      </c>
    </row>
    <row r="1276" spans="1:3" x14ac:dyDescent="0.2">
      <c r="A1276" t="str">
        <f t="shared" si="19"/>
        <v>return_code_4001</v>
      </c>
      <c r="B1276" t="s">
        <v>1803</v>
      </c>
      <c r="C1276" t="s">
        <v>5412</v>
      </c>
    </row>
    <row r="1277" spans="1:3" x14ac:dyDescent="0.2">
      <c r="A1277" t="str">
        <f t="shared" si="19"/>
        <v>return_code_4002</v>
      </c>
      <c r="B1277" t="s">
        <v>1805</v>
      </c>
      <c r="C1277" t="s">
        <v>5483</v>
      </c>
    </row>
    <row r="1278" spans="1:3" x14ac:dyDescent="0.2">
      <c r="A1278" t="str">
        <f t="shared" si="19"/>
        <v>return_code_4003</v>
      </c>
      <c r="B1278" t="s">
        <v>1807</v>
      </c>
      <c r="C1278" t="s">
        <v>5484</v>
      </c>
    </row>
    <row r="1279" spans="1:3" x14ac:dyDescent="0.2">
      <c r="A1279" t="str">
        <f t="shared" si="19"/>
        <v>return_code_4004</v>
      </c>
      <c r="B1279" t="s">
        <v>1809</v>
      </c>
      <c r="C1279" t="s">
        <v>5485</v>
      </c>
    </row>
    <row r="1280" spans="1:3" x14ac:dyDescent="0.2">
      <c r="A1280" t="str">
        <f t="shared" si="19"/>
        <v>return_code_4005</v>
      </c>
      <c r="B1280" t="s">
        <v>1811</v>
      </c>
      <c r="C1280" t="s">
        <v>5486</v>
      </c>
    </row>
    <row r="1281" spans="1:3" x14ac:dyDescent="0.2">
      <c r="A1281" t="str">
        <f t="shared" ref="A1281:A1344" si="20">CONCATENATE("return_code_",B1281)</f>
        <v>return_code_4006</v>
      </c>
      <c r="B1281" t="s">
        <v>1813</v>
      </c>
      <c r="C1281" t="s">
        <v>5487</v>
      </c>
    </row>
    <row r="1282" spans="1:3" x14ac:dyDescent="0.2">
      <c r="A1282" t="str">
        <f t="shared" si="20"/>
        <v>return_code_4007</v>
      </c>
      <c r="B1282" t="s">
        <v>1815</v>
      </c>
      <c r="C1282" t="s">
        <v>5488</v>
      </c>
    </row>
    <row r="1283" spans="1:3" x14ac:dyDescent="0.2">
      <c r="A1283" t="str">
        <f t="shared" si="20"/>
        <v>return_code_4008</v>
      </c>
      <c r="B1283" t="s">
        <v>1817</v>
      </c>
      <c r="C1283" t="s">
        <v>5489</v>
      </c>
    </row>
    <row r="1284" spans="1:3" x14ac:dyDescent="0.2">
      <c r="A1284" t="str">
        <f t="shared" si="20"/>
        <v>return_code_4009</v>
      </c>
      <c r="B1284" t="s">
        <v>1819</v>
      </c>
      <c r="C1284" t="s">
        <v>5490</v>
      </c>
    </row>
    <row r="1285" spans="1:3" x14ac:dyDescent="0.2">
      <c r="A1285" t="str">
        <f t="shared" si="20"/>
        <v>return_code_4010</v>
      </c>
      <c r="B1285" t="s">
        <v>5491</v>
      </c>
      <c r="C1285" t="s">
        <v>5492</v>
      </c>
    </row>
    <row r="1286" spans="1:3" x14ac:dyDescent="0.2">
      <c r="A1286" t="str">
        <f t="shared" si="20"/>
        <v>return_code_4011</v>
      </c>
      <c r="B1286" t="s">
        <v>5493</v>
      </c>
      <c r="C1286" t="s">
        <v>5494</v>
      </c>
    </row>
    <row r="1287" spans="1:3" x14ac:dyDescent="0.2">
      <c r="A1287" t="str">
        <f t="shared" si="20"/>
        <v>return_code_4012</v>
      </c>
      <c r="B1287" t="s">
        <v>5495</v>
      </c>
      <c r="C1287" t="s">
        <v>5496</v>
      </c>
    </row>
    <row r="1288" spans="1:3" x14ac:dyDescent="0.2">
      <c r="A1288" t="str">
        <f t="shared" si="20"/>
        <v>return_code_4013</v>
      </c>
      <c r="B1288" t="s">
        <v>5497</v>
      </c>
      <c r="C1288" t="s">
        <v>5498</v>
      </c>
    </row>
    <row r="1289" spans="1:3" x14ac:dyDescent="0.2">
      <c r="A1289" t="str">
        <f t="shared" si="20"/>
        <v>return_code_4014</v>
      </c>
      <c r="B1289" t="s">
        <v>5499</v>
      </c>
      <c r="C1289" t="s">
        <v>5500</v>
      </c>
    </row>
    <row r="1290" spans="1:3" x14ac:dyDescent="0.2">
      <c r="A1290" t="str">
        <f t="shared" si="20"/>
        <v>return_code_4015</v>
      </c>
      <c r="B1290" t="s">
        <v>5501</v>
      </c>
      <c r="C1290" t="s">
        <v>5502</v>
      </c>
    </row>
    <row r="1291" spans="1:3" x14ac:dyDescent="0.2">
      <c r="A1291" t="str">
        <f t="shared" si="20"/>
        <v>return_code_4016</v>
      </c>
      <c r="B1291" t="s">
        <v>5503</v>
      </c>
      <c r="C1291" t="s">
        <v>5504</v>
      </c>
    </row>
    <row r="1292" spans="1:3" x14ac:dyDescent="0.2">
      <c r="A1292" t="str">
        <f t="shared" si="20"/>
        <v>return_code_4017</v>
      </c>
      <c r="B1292" t="s">
        <v>5505</v>
      </c>
      <c r="C1292" t="s">
        <v>5506</v>
      </c>
    </row>
    <row r="1293" spans="1:3" x14ac:dyDescent="0.2">
      <c r="A1293" t="str">
        <f t="shared" si="20"/>
        <v>return_code_4018</v>
      </c>
      <c r="B1293" t="s">
        <v>5507</v>
      </c>
      <c r="C1293" t="s">
        <v>5508</v>
      </c>
    </row>
    <row r="1294" spans="1:3" x14ac:dyDescent="0.2">
      <c r="A1294" t="str">
        <f t="shared" si="20"/>
        <v>return_code_4019</v>
      </c>
      <c r="B1294" t="s">
        <v>5509</v>
      </c>
      <c r="C1294" t="s">
        <v>5510</v>
      </c>
    </row>
    <row r="1295" spans="1:3" x14ac:dyDescent="0.2">
      <c r="A1295" t="str">
        <f t="shared" si="20"/>
        <v>return_code_4020</v>
      </c>
      <c r="B1295" t="s">
        <v>5511</v>
      </c>
      <c r="C1295" t="s">
        <v>5512</v>
      </c>
    </row>
    <row r="1296" spans="1:3" x14ac:dyDescent="0.2">
      <c r="A1296" t="str">
        <f t="shared" si="20"/>
        <v>return_code_4021</v>
      </c>
      <c r="B1296" t="s">
        <v>5513</v>
      </c>
      <c r="C1296" t="s">
        <v>5514</v>
      </c>
    </row>
    <row r="1297" spans="1:3" x14ac:dyDescent="0.2">
      <c r="A1297" t="str">
        <f t="shared" si="20"/>
        <v>return_code_4022</v>
      </c>
      <c r="B1297" t="s">
        <v>5515</v>
      </c>
      <c r="C1297" t="s">
        <v>5516</v>
      </c>
    </row>
    <row r="1298" spans="1:3" x14ac:dyDescent="0.2">
      <c r="A1298" t="str">
        <f t="shared" si="20"/>
        <v>return_code_4023</v>
      </c>
      <c r="B1298" t="s">
        <v>5517</v>
      </c>
      <c r="C1298" t="s">
        <v>5518</v>
      </c>
    </row>
    <row r="1299" spans="1:3" x14ac:dyDescent="0.2">
      <c r="A1299" t="str">
        <f t="shared" si="20"/>
        <v>return_code_4024</v>
      </c>
      <c r="B1299" t="s">
        <v>5519</v>
      </c>
      <c r="C1299" t="s">
        <v>5520</v>
      </c>
    </row>
    <row r="1300" spans="1:3" x14ac:dyDescent="0.2">
      <c r="A1300" t="str">
        <f t="shared" si="20"/>
        <v>return_code_4025</v>
      </c>
      <c r="B1300" t="s">
        <v>5521</v>
      </c>
      <c r="C1300" t="s">
        <v>5522</v>
      </c>
    </row>
    <row r="1301" spans="1:3" x14ac:dyDescent="0.2">
      <c r="A1301" t="str">
        <f t="shared" si="20"/>
        <v>return_code_4026</v>
      </c>
      <c r="B1301" t="s">
        <v>5523</v>
      </c>
      <c r="C1301" t="s">
        <v>5524</v>
      </c>
    </row>
    <row r="1302" spans="1:3" x14ac:dyDescent="0.2">
      <c r="A1302" t="str">
        <f t="shared" si="20"/>
        <v>return_code_4027</v>
      </c>
      <c r="B1302" t="s">
        <v>5525</v>
      </c>
      <c r="C1302" t="s">
        <v>5526</v>
      </c>
    </row>
    <row r="1303" spans="1:3" x14ac:dyDescent="0.2">
      <c r="A1303" t="str">
        <f t="shared" si="20"/>
        <v>return_code_4028</v>
      </c>
      <c r="B1303" t="s">
        <v>5527</v>
      </c>
      <c r="C1303" t="s">
        <v>5528</v>
      </c>
    </row>
    <row r="1304" spans="1:3" x14ac:dyDescent="0.2">
      <c r="A1304" t="str">
        <f t="shared" si="20"/>
        <v>return_code_4029</v>
      </c>
      <c r="B1304" t="s">
        <v>5529</v>
      </c>
      <c r="C1304" t="s">
        <v>5530</v>
      </c>
    </row>
    <row r="1305" spans="1:3" x14ac:dyDescent="0.2">
      <c r="A1305" t="str">
        <f t="shared" si="20"/>
        <v>return_code_4030</v>
      </c>
      <c r="B1305" t="s">
        <v>2184</v>
      </c>
      <c r="C1305" t="s">
        <v>5530</v>
      </c>
    </row>
    <row r="1306" spans="1:3" x14ac:dyDescent="0.2">
      <c r="A1306" t="str">
        <f t="shared" si="20"/>
        <v>return_code_4031</v>
      </c>
      <c r="B1306" t="s">
        <v>2186</v>
      </c>
      <c r="C1306" t="s">
        <v>5531</v>
      </c>
    </row>
    <row r="1307" spans="1:3" x14ac:dyDescent="0.2">
      <c r="A1307" t="str">
        <f t="shared" si="20"/>
        <v>return_code_4032</v>
      </c>
      <c r="B1307" t="s">
        <v>2188</v>
      </c>
      <c r="C1307" t="s">
        <v>5532</v>
      </c>
    </row>
    <row r="1308" spans="1:3" x14ac:dyDescent="0.2">
      <c r="A1308" t="str">
        <f t="shared" si="20"/>
        <v>return_code_4033</v>
      </c>
      <c r="B1308" t="s">
        <v>2190</v>
      </c>
      <c r="C1308" t="s">
        <v>5533</v>
      </c>
    </row>
    <row r="1309" spans="1:3" x14ac:dyDescent="0.2">
      <c r="A1309" t="str">
        <f t="shared" si="20"/>
        <v>return_code_4034</v>
      </c>
      <c r="B1309" t="s">
        <v>5534</v>
      </c>
      <c r="C1309" t="s">
        <v>5535</v>
      </c>
    </row>
    <row r="1310" spans="1:3" x14ac:dyDescent="0.2">
      <c r="A1310" t="str">
        <f t="shared" si="20"/>
        <v>return_code_4035</v>
      </c>
      <c r="B1310" t="s">
        <v>5536</v>
      </c>
      <c r="C1310" t="s">
        <v>5537</v>
      </c>
    </row>
    <row r="1311" spans="1:3" x14ac:dyDescent="0.2">
      <c r="A1311" t="str">
        <f t="shared" si="20"/>
        <v>return_code_4036</v>
      </c>
      <c r="B1311" t="s">
        <v>5538</v>
      </c>
      <c r="C1311" t="s">
        <v>5539</v>
      </c>
    </row>
    <row r="1312" spans="1:3" x14ac:dyDescent="0.2">
      <c r="A1312" t="str">
        <f t="shared" si="20"/>
        <v>return_code_4037</v>
      </c>
      <c r="B1312" t="s">
        <v>5540</v>
      </c>
      <c r="C1312" t="s">
        <v>5541</v>
      </c>
    </row>
    <row r="1313" spans="1:3" x14ac:dyDescent="0.2">
      <c r="A1313" t="str">
        <f t="shared" si="20"/>
        <v>return_code_4038</v>
      </c>
      <c r="B1313" t="s">
        <v>5542</v>
      </c>
      <c r="C1313" t="s">
        <v>5543</v>
      </c>
    </row>
    <row r="1314" spans="1:3" x14ac:dyDescent="0.2">
      <c r="A1314" t="str">
        <f t="shared" si="20"/>
        <v>return_code_4039</v>
      </c>
      <c r="B1314" t="s">
        <v>5544</v>
      </c>
      <c r="C1314" t="s">
        <v>5545</v>
      </c>
    </row>
    <row r="1315" spans="1:3" x14ac:dyDescent="0.2">
      <c r="A1315" t="str">
        <f t="shared" si="20"/>
        <v>return_code_4040</v>
      </c>
      <c r="B1315" t="s">
        <v>2192</v>
      </c>
      <c r="C1315" t="s">
        <v>5546</v>
      </c>
    </row>
    <row r="1316" spans="1:3" x14ac:dyDescent="0.2">
      <c r="A1316" t="str">
        <f t="shared" si="20"/>
        <v>return_code_4041</v>
      </c>
      <c r="B1316" t="s">
        <v>2194</v>
      </c>
      <c r="C1316" t="s">
        <v>5547</v>
      </c>
    </row>
    <row r="1317" spans="1:3" x14ac:dyDescent="0.2">
      <c r="A1317" t="str">
        <f t="shared" si="20"/>
        <v>return_code_4042</v>
      </c>
      <c r="B1317" t="s">
        <v>2196</v>
      </c>
      <c r="C1317" t="s">
        <v>5548</v>
      </c>
    </row>
    <row r="1318" spans="1:3" x14ac:dyDescent="0.2">
      <c r="A1318" t="str">
        <f t="shared" si="20"/>
        <v>return_code_4043</v>
      </c>
      <c r="B1318" t="s">
        <v>2198</v>
      </c>
      <c r="C1318" t="s">
        <v>5549</v>
      </c>
    </row>
    <row r="1319" spans="1:3" x14ac:dyDescent="0.2">
      <c r="A1319" t="str">
        <f t="shared" si="20"/>
        <v>return_code_4044</v>
      </c>
      <c r="B1319" t="s">
        <v>2200</v>
      </c>
      <c r="C1319" t="s">
        <v>5550</v>
      </c>
    </row>
    <row r="1320" spans="1:3" x14ac:dyDescent="0.2">
      <c r="A1320" t="str">
        <f t="shared" si="20"/>
        <v>return_code_4045</v>
      </c>
      <c r="B1320" t="s">
        <v>2202</v>
      </c>
      <c r="C1320" t="s">
        <v>5551</v>
      </c>
    </row>
    <row r="1321" spans="1:3" x14ac:dyDescent="0.2">
      <c r="A1321" t="str">
        <f t="shared" si="20"/>
        <v>return_code_4046</v>
      </c>
      <c r="B1321" t="s">
        <v>2204</v>
      </c>
      <c r="C1321" t="s">
        <v>5552</v>
      </c>
    </row>
    <row r="1322" spans="1:3" x14ac:dyDescent="0.2">
      <c r="A1322" t="str">
        <f t="shared" si="20"/>
        <v>return_code_4047</v>
      </c>
      <c r="B1322" t="s">
        <v>2206</v>
      </c>
      <c r="C1322" t="s">
        <v>5553</v>
      </c>
    </row>
    <row r="1323" spans="1:3" x14ac:dyDescent="0.2">
      <c r="A1323" t="str">
        <f t="shared" si="20"/>
        <v>return_code_4048</v>
      </c>
      <c r="B1323" t="s">
        <v>2208</v>
      </c>
      <c r="C1323" t="s">
        <v>5554</v>
      </c>
    </row>
    <row r="1324" spans="1:3" x14ac:dyDescent="0.2">
      <c r="A1324" t="str">
        <f t="shared" si="20"/>
        <v>return_code_4049</v>
      </c>
      <c r="B1324" t="s">
        <v>2210</v>
      </c>
      <c r="C1324" t="s">
        <v>5555</v>
      </c>
    </row>
    <row r="1325" spans="1:3" x14ac:dyDescent="0.2">
      <c r="A1325" t="str">
        <f t="shared" si="20"/>
        <v>return_code_4050</v>
      </c>
      <c r="B1325" t="s">
        <v>5556</v>
      </c>
      <c r="C1325" t="s">
        <v>5557</v>
      </c>
    </row>
    <row r="1326" spans="1:3" x14ac:dyDescent="0.2">
      <c r="A1326" t="str">
        <f t="shared" si="20"/>
        <v>return_code_4051</v>
      </c>
      <c r="B1326" t="s">
        <v>5558</v>
      </c>
      <c r="C1326" t="s">
        <v>5559</v>
      </c>
    </row>
    <row r="1327" spans="1:3" x14ac:dyDescent="0.2">
      <c r="A1327" t="str">
        <f t="shared" si="20"/>
        <v>return_code_4052</v>
      </c>
      <c r="B1327" t="s">
        <v>5560</v>
      </c>
      <c r="C1327" t="s">
        <v>5561</v>
      </c>
    </row>
    <row r="1328" spans="1:3" x14ac:dyDescent="0.2">
      <c r="A1328" t="str">
        <f t="shared" si="20"/>
        <v>return_code_4053</v>
      </c>
      <c r="B1328" t="s">
        <v>5562</v>
      </c>
      <c r="C1328" t="s">
        <v>5563</v>
      </c>
    </row>
    <row r="1329" spans="1:3" x14ac:dyDescent="0.2">
      <c r="A1329" t="str">
        <f t="shared" si="20"/>
        <v>return_code_4054</v>
      </c>
      <c r="B1329" t="s">
        <v>5564</v>
      </c>
      <c r="C1329" t="s">
        <v>5565</v>
      </c>
    </row>
    <row r="1330" spans="1:3" x14ac:dyDescent="0.2">
      <c r="A1330" t="str">
        <f t="shared" si="20"/>
        <v>return_code_4055</v>
      </c>
      <c r="B1330" t="s">
        <v>5566</v>
      </c>
      <c r="C1330" t="s">
        <v>5567</v>
      </c>
    </row>
    <row r="1331" spans="1:3" x14ac:dyDescent="0.2">
      <c r="A1331" t="str">
        <f t="shared" si="20"/>
        <v>return_code_4056</v>
      </c>
      <c r="B1331" t="s">
        <v>5568</v>
      </c>
      <c r="C1331" t="s">
        <v>5569</v>
      </c>
    </row>
    <row r="1332" spans="1:3" x14ac:dyDescent="0.2">
      <c r="A1332" t="str">
        <f t="shared" si="20"/>
        <v>return_code_4057</v>
      </c>
      <c r="B1332" t="s">
        <v>5570</v>
      </c>
      <c r="C1332" t="s">
        <v>4212</v>
      </c>
    </row>
    <row r="1333" spans="1:3" x14ac:dyDescent="0.2">
      <c r="A1333" t="str">
        <f t="shared" si="20"/>
        <v>return_code_4058</v>
      </c>
      <c r="B1333" t="s">
        <v>5571</v>
      </c>
      <c r="C1333" t="s">
        <v>5572</v>
      </c>
    </row>
    <row r="1334" spans="1:3" x14ac:dyDescent="0.2">
      <c r="A1334" t="str">
        <f t="shared" si="20"/>
        <v>return_code_4059</v>
      </c>
      <c r="B1334" t="s">
        <v>5573</v>
      </c>
      <c r="C1334" t="s">
        <v>5574</v>
      </c>
    </row>
    <row r="1335" spans="1:3" x14ac:dyDescent="0.2">
      <c r="A1335" t="str">
        <f t="shared" si="20"/>
        <v>return_code_4060</v>
      </c>
      <c r="B1335" t="s">
        <v>2212</v>
      </c>
      <c r="C1335" t="s">
        <v>5575</v>
      </c>
    </row>
    <row r="1336" spans="1:3" x14ac:dyDescent="0.2">
      <c r="A1336" t="str">
        <f t="shared" si="20"/>
        <v>return_code_4061</v>
      </c>
      <c r="B1336" t="s">
        <v>2214</v>
      </c>
      <c r="C1336" t="s">
        <v>5576</v>
      </c>
    </row>
    <row r="1337" spans="1:3" x14ac:dyDescent="0.2">
      <c r="A1337" t="str">
        <f t="shared" si="20"/>
        <v>return_code_4062</v>
      </c>
      <c r="B1337" t="s">
        <v>2216</v>
      </c>
      <c r="C1337" t="s">
        <v>5577</v>
      </c>
    </row>
    <row r="1338" spans="1:3" x14ac:dyDescent="0.2">
      <c r="A1338" t="str">
        <f t="shared" si="20"/>
        <v>return_code_4063</v>
      </c>
      <c r="B1338" t="s">
        <v>2218</v>
      </c>
      <c r="C1338" t="s">
        <v>5578</v>
      </c>
    </row>
    <row r="1339" spans="1:3" x14ac:dyDescent="0.2">
      <c r="A1339" t="str">
        <f t="shared" si="20"/>
        <v>return_code_4064</v>
      </c>
      <c r="B1339" t="s">
        <v>2220</v>
      </c>
      <c r="C1339" t="s">
        <v>5579</v>
      </c>
    </row>
    <row r="1340" spans="1:3" x14ac:dyDescent="0.2">
      <c r="A1340" t="str">
        <f t="shared" si="20"/>
        <v>return_code_4065</v>
      </c>
      <c r="B1340" t="s">
        <v>5580</v>
      </c>
      <c r="C1340" t="s">
        <v>5581</v>
      </c>
    </row>
    <row r="1341" spans="1:3" x14ac:dyDescent="0.2">
      <c r="A1341" t="str">
        <f t="shared" si="20"/>
        <v>return_code_4066</v>
      </c>
      <c r="B1341" t="s">
        <v>5582</v>
      </c>
      <c r="C1341" t="s">
        <v>5583</v>
      </c>
    </row>
    <row r="1342" spans="1:3" x14ac:dyDescent="0.2">
      <c r="A1342" t="str">
        <f t="shared" si="20"/>
        <v>return_code_4067</v>
      </c>
      <c r="B1342" t="s">
        <v>5584</v>
      </c>
      <c r="C1342" t="s">
        <v>5585</v>
      </c>
    </row>
    <row r="1343" spans="1:3" x14ac:dyDescent="0.2">
      <c r="A1343" t="str">
        <f t="shared" si="20"/>
        <v>return_code_4068</v>
      </c>
      <c r="B1343" t="s">
        <v>5586</v>
      </c>
      <c r="C1343" t="s">
        <v>5587</v>
      </c>
    </row>
    <row r="1344" spans="1:3" x14ac:dyDescent="0.2">
      <c r="A1344" t="str">
        <f t="shared" si="20"/>
        <v>return_code_4069</v>
      </c>
      <c r="B1344" t="s">
        <v>5588</v>
      </c>
      <c r="C1344" t="s">
        <v>5589</v>
      </c>
    </row>
    <row r="1345" spans="1:3" x14ac:dyDescent="0.2">
      <c r="A1345" t="str">
        <f t="shared" ref="A1345:A1408" si="21">CONCATENATE("return_code_",B1345)</f>
        <v>return_code_4070</v>
      </c>
      <c r="B1345" t="s">
        <v>5590</v>
      </c>
      <c r="C1345" t="s">
        <v>5591</v>
      </c>
    </row>
    <row r="1346" spans="1:3" x14ac:dyDescent="0.2">
      <c r="A1346" t="str">
        <f t="shared" si="21"/>
        <v>return_code_4071</v>
      </c>
      <c r="B1346" t="s">
        <v>5592</v>
      </c>
      <c r="C1346" t="s">
        <v>5593</v>
      </c>
    </row>
    <row r="1347" spans="1:3" x14ac:dyDescent="0.2">
      <c r="A1347" t="str">
        <f t="shared" si="21"/>
        <v>return_code_4072</v>
      </c>
      <c r="B1347" t="s">
        <v>5594</v>
      </c>
      <c r="C1347" t="s">
        <v>5595</v>
      </c>
    </row>
    <row r="1348" spans="1:3" x14ac:dyDescent="0.2">
      <c r="A1348" t="str">
        <f t="shared" si="21"/>
        <v>return_code_4073</v>
      </c>
      <c r="B1348" t="s">
        <v>5596</v>
      </c>
      <c r="C1348" t="s">
        <v>5597</v>
      </c>
    </row>
    <row r="1349" spans="1:3" x14ac:dyDescent="0.2">
      <c r="A1349" t="str">
        <f t="shared" si="21"/>
        <v>return_code_4074</v>
      </c>
      <c r="B1349" t="s">
        <v>5598</v>
      </c>
      <c r="C1349" t="s">
        <v>5599</v>
      </c>
    </row>
    <row r="1350" spans="1:3" x14ac:dyDescent="0.2">
      <c r="A1350" t="str">
        <f t="shared" si="21"/>
        <v>return_code_4075</v>
      </c>
      <c r="B1350" t="s">
        <v>5600</v>
      </c>
      <c r="C1350" t="s">
        <v>5601</v>
      </c>
    </row>
    <row r="1351" spans="1:3" x14ac:dyDescent="0.2">
      <c r="A1351" t="str">
        <f t="shared" si="21"/>
        <v>return_code_4076</v>
      </c>
      <c r="B1351" t="s">
        <v>5602</v>
      </c>
      <c r="C1351" t="s">
        <v>5603</v>
      </c>
    </row>
    <row r="1352" spans="1:3" x14ac:dyDescent="0.2">
      <c r="A1352" t="str">
        <f t="shared" si="21"/>
        <v>return_code_4077</v>
      </c>
      <c r="B1352" t="s">
        <v>5604</v>
      </c>
      <c r="C1352" t="s">
        <v>5589</v>
      </c>
    </row>
    <row r="1353" spans="1:3" x14ac:dyDescent="0.2">
      <c r="A1353" t="str">
        <f t="shared" si="21"/>
        <v>return_code_4078</v>
      </c>
      <c r="B1353" t="s">
        <v>5605</v>
      </c>
      <c r="C1353" t="s">
        <v>5591</v>
      </c>
    </row>
    <row r="1354" spans="1:3" x14ac:dyDescent="0.2">
      <c r="A1354" t="str">
        <f t="shared" si="21"/>
        <v>return_code_4079</v>
      </c>
      <c r="B1354" t="s">
        <v>5606</v>
      </c>
      <c r="C1354" t="s">
        <v>5607</v>
      </c>
    </row>
    <row r="1355" spans="1:3" x14ac:dyDescent="0.2">
      <c r="A1355" t="str">
        <f t="shared" si="21"/>
        <v>return_code_4080</v>
      </c>
      <c r="B1355" t="s">
        <v>5608</v>
      </c>
      <c r="C1355" t="s">
        <v>5609</v>
      </c>
    </row>
    <row r="1356" spans="1:3" x14ac:dyDescent="0.2">
      <c r="A1356" t="str">
        <f t="shared" si="21"/>
        <v>return_code_4081</v>
      </c>
      <c r="B1356" t="s">
        <v>5610</v>
      </c>
      <c r="C1356" t="s">
        <v>5611</v>
      </c>
    </row>
    <row r="1357" spans="1:3" x14ac:dyDescent="0.2">
      <c r="A1357" t="str">
        <f t="shared" si="21"/>
        <v>return_code_4082</v>
      </c>
      <c r="B1357" t="s">
        <v>5612</v>
      </c>
      <c r="C1357" t="s">
        <v>5613</v>
      </c>
    </row>
    <row r="1358" spans="1:3" x14ac:dyDescent="0.2">
      <c r="A1358" t="str">
        <f t="shared" si="21"/>
        <v>return_code_4083</v>
      </c>
      <c r="B1358" t="s">
        <v>5614</v>
      </c>
      <c r="C1358" t="s">
        <v>5615</v>
      </c>
    </row>
    <row r="1359" spans="1:3" x14ac:dyDescent="0.2">
      <c r="A1359" t="str">
        <f t="shared" si="21"/>
        <v>return_code_4084</v>
      </c>
      <c r="B1359" t="s">
        <v>5616</v>
      </c>
      <c r="C1359" t="s">
        <v>5617</v>
      </c>
    </row>
    <row r="1360" spans="1:3" x14ac:dyDescent="0.2">
      <c r="A1360" t="str">
        <f t="shared" si="21"/>
        <v>return_code_4085</v>
      </c>
      <c r="B1360" t="s">
        <v>5618</v>
      </c>
      <c r="C1360" t="s">
        <v>5619</v>
      </c>
    </row>
    <row r="1361" spans="1:3" x14ac:dyDescent="0.2">
      <c r="A1361" t="str">
        <f t="shared" si="21"/>
        <v>return_code_4086</v>
      </c>
      <c r="B1361" t="s">
        <v>5620</v>
      </c>
      <c r="C1361" t="s">
        <v>5621</v>
      </c>
    </row>
    <row r="1362" spans="1:3" x14ac:dyDescent="0.2">
      <c r="A1362" t="str">
        <f t="shared" si="21"/>
        <v>return_code_4087</v>
      </c>
      <c r="B1362" t="s">
        <v>5622</v>
      </c>
      <c r="C1362" t="s">
        <v>5623</v>
      </c>
    </row>
    <row r="1363" spans="1:3" x14ac:dyDescent="0.2">
      <c r="A1363" t="str">
        <f t="shared" si="21"/>
        <v>return_code_4088</v>
      </c>
      <c r="B1363" t="s">
        <v>5624</v>
      </c>
      <c r="C1363" t="s">
        <v>5461</v>
      </c>
    </row>
    <row r="1364" spans="1:3" x14ac:dyDescent="0.2">
      <c r="A1364" t="str">
        <f t="shared" si="21"/>
        <v>return_code_4089</v>
      </c>
      <c r="B1364" t="s">
        <v>5625</v>
      </c>
      <c r="C1364" t="s">
        <v>5626</v>
      </c>
    </row>
    <row r="1365" spans="1:3" x14ac:dyDescent="0.2">
      <c r="A1365" t="str">
        <f t="shared" si="21"/>
        <v>return_code_4090</v>
      </c>
      <c r="B1365" t="s">
        <v>5627</v>
      </c>
      <c r="C1365" t="s">
        <v>5628</v>
      </c>
    </row>
    <row r="1366" spans="1:3" x14ac:dyDescent="0.2">
      <c r="A1366" t="str">
        <f t="shared" si="21"/>
        <v>return_code_4091</v>
      </c>
      <c r="B1366" t="s">
        <v>5629</v>
      </c>
      <c r="C1366" t="s">
        <v>5630</v>
      </c>
    </row>
    <row r="1367" spans="1:3" x14ac:dyDescent="0.2">
      <c r="A1367" t="str">
        <f t="shared" si="21"/>
        <v>return_code_4092</v>
      </c>
      <c r="B1367" t="s">
        <v>5631</v>
      </c>
      <c r="C1367" t="s">
        <v>4859</v>
      </c>
    </row>
    <row r="1368" spans="1:3" x14ac:dyDescent="0.2">
      <c r="A1368" t="str">
        <f t="shared" si="21"/>
        <v>return_code_4093</v>
      </c>
      <c r="B1368" t="s">
        <v>5632</v>
      </c>
      <c r="C1368" t="s">
        <v>5633</v>
      </c>
    </row>
    <row r="1369" spans="1:3" x14ac:dyDescent="0.2">
      <c r="A1369" t="str">
        <f t="shared" si="21"/>
        <v>return_code_4094</v>
      </c>
      <c r="B1369" t="s">
        <v>5634</v>
      </c>
      <c r="C1369" t="s">
        <v>4888</v>
      </c>
    </row>
    <row r="1370" spans="1:3" x14ac:dyDescent="0.2">
      <c r="A1370" t="str">
        <f t="shared" si="21"/>
        <v>return_code_4095</v>
      </c>
      <c r="B1370" t="s">
        <v>5635</v>
      </c>
      <c r="C1370" t="s">
        <v>4861</v>
      </c>
    </row>
    <row r="1371" spans="1:3" x14ac:dyDescent="0.2">
      <c r="A1371" t="str">
        <f t="shared" si="21"/>
        <v>return_code_4096</v>
      </c>
      <c r="B1371" t="s">
        <v>5636</v>
      </c>
      <c r="C1371" t="s">
        <v>4863</v>
      </c>
    </row>
    <row r="1372" spans="1:3" x14ac:dyDescent="0.2">
      <c r="A1372" t="str">
        <f t="shared" si="21"/>
        <v>return_code_4097</v>
      </c>
      <c r="B1372" t="s">
        <v>5637</v>
      </c>
      <c r="C1372" t="s">
        <v>4865</v>
      </c>
    </row>
    <row r="1373" spans="1:3" x14ac:dyDescent="0.2">
      <c r="A1373" t="str">
        <f t="shared" si="21"/>
        <v>return_code_4098</v>
      </c>
      <c r="B1373" t="s">
        <v>5638</v>
      </c>
      <c r="C1373" t="s">
        <v>4867</v>
      </c>
    </row>
    <row r="1374" spans="1:3" x14ac:dyDescent="0.2">
      <c r="A1374" t="str">
        <f t="shared" si="21"/>
        <v>return_code_4099</v>
      </c>
      <c r="B1374" t="s">
        <v>5639</v>
      </c>
      <c r="C1374" t="s">
        <v>4878</v>
      </c>
    </row>
    <row r="1375" spans="1:3" x14ac:dyDescent="0.2">
      <c r="A1375" t="str">
        <f t="shared" si="21"/>
        <v>return_code_4100</v>
      </c>
      <c r="B1375" t="s">
        <v>2782</v>
      </c>
      <c r="C1375" t="s">
        <v>5640</v>
      </c>
    </row>
    <row r="1376" spans="1:3" x14ac:dyDescent="0.2">
      <c r="A1376" t="str">
        <f t="shared" si="21"/>
        <v>return_code_4101</v>
      </c>
      <c r="B1376" t="s">
        <v>5641</v>
      </c>
      <c r="C1376" t="s">
        <v>4894</v>
      </c>
    </row>
    <row r="1377" spans="1:3" x14ac:dyDescent="0.2">
      <c r="A1377" t="str">
        <f t="shared" si="21"/>
        <v>return_code_4102</v>
      </c>
      <c r="B1377" t="s">
        <v>5642</v>
      </c>
      <c r="C1377" t="s">
        <v>4880</v>
      </c>
    </row>
    <row r="1378" spans="1:3" x14ac:dyDescent="0.2">
      <c r="A1378" t="str">
        <f t="shared" si="21"/>
        <v>return_code_4103</v>
      </c>
      <c r="B1378" t="s">
        <v>5643</v>
      </c>
      <c r="C1378" t="s">
        <v>4882</v>
      </c>
    </row>
    <row r="1379" spans="1:3" x14ac:dyDescent="0.2">
      <c r="A1379" t="str">
        <f t="shared" si="21"/>
        <v>return_code_4104</v>
      </c>
      <c r="B1379" t="s">
        <v>5644</v>
      </c>
      <c r="C1379" t="s">
        <v>4884</v>
      </c>
    </row>
    <row r="1380" spans="1:3" x14ac:dyDescent="0.2">
      <c r="A1380" t="str">
        <f t="shared" si="21"/>
        <v>return_code_4105</v>
      </c>
      <c r="B1380" t="s">
        <v>5645</v>
      </c>
      <c r="C1380" t="s">
        <v>4886</v>
      </c>
    </row>
    <row r="1381" spans="1:3" x14ac:dyDescent="0.2">
      <c r="A1381" t="str">
        <f t="shared" si="21"/>
        <v>return_code_4106</v>
      </c>
      <c r="B1381" t="s">
        <v>5646</v>
      </c>
      <c r="C1381" t="s">
        <v>4869</v>
      </c>
    </row>
    <row r="1382" spans="1:3" x14ac:dyDescent="0.2">
      <c r="A1382" t="str">
        <f t="shared" si="21"/>
        <v>return_code_4107</v>
      </c>
      <c r="B1382" t="s">
        <v>5647</v>
      </c>
      <c r="C1382" t="s">
        <v>5648</v>
      </c>
    </row>
    <row r="1383" spans="1:3" x14ac:dyDescent="0.2">
      <c r="A1383" t="str">
        <f t="shared" si="21"/>
        <v>return_code_4108</v>
      </c>
      <c r="B1383" t="s">
        <v>5649</v>
      </c>
      <c r="C1383" t="s">
        <v>4892</v>
      </c>
    </row>
    <row r="1384" spans="1:3" x14ac:dyDescent="0.2">
      <c r="A1384" t="str">
        <f t="shared" si="21"/>
        <v>return_code_4109</v>
      </c>
      <c r="B1384" t="s">
        <v>5650</v>
      </c>
      <c r="C1384" t="s">
        <v>4871</v>
      </c>
    </row>
    <row r="1385" spans="1:3" x14ac:dyDescent="0.2">
      <c r="A1385" t="str">
        <f t="shared" si="21"/>
        <v>return_code_4110</v>
      </c>
      <c r="B1385" t="s">
        <v>5651</v>
      </c>
      <c r="C1385" t="s">
        <v>4873</v>
      </c>
    </row>
    <row r="1386" spans="1:3" x14ac:dyDescent="0.2">
      <c r="A1386" t="str">
        <f t="shared" si="21"/>
        <v>return_code_4111</v>
      </c>
      <c r="B1386" t="s">
        <v>5652</v>
      </c>
      <c r="C1386" t="s">
        <v>4875</v>
      </c>
    </row>
    <row r="1387" spans="1:3" x14ac:dyDescent="0.2">
      <c r="A1387" t="str">
        <f t="shared" si="21"/>
        <v>return_code_4112</v>
      </c>
      <c r="B1387" t="s">
        <v>5653</v>
      </c>
      <c r="C1387" t="s">
        <v>4876</v>
      </c>
    </row>
    <row r="1388" spans="1:3" x14ac:dyDescent="0.2">
      <c r="A1388" t="str">
        <f t="shared" si="21"/>
        <v>return_code_4120</v>
      </c>
      <c r="B1388" t="s">
        <v>5654</v>
      </c>
      <c r="C1388" t="s">
        <v>5655</v>
      </c>
    </row>
    <row r="1389" spans="1:3" x14ac:dyDescent="0.2">
      <c r="A1389" t="str">
        <f t="shared" si="21"/>
        <v>return_code_4121</v>
      </c>
      <c r="B1389" t="s">
        <v>5656</v>
      </c>
      <c r="C1389" t="s">
        <v>5657</v>
      </c>
    </row>
    <row r="1390" spans="1:3" x14ac:dyDescent="0.2">
      <c r="A1390" t="str">
        <f t="shared" si="21"/>
        <v>return_code_4122</v>
      </c>
      <c r="B1390" t="s">
        <v>5658</v>
      </c>
      <c r="C1390" t="s">
        <v>5659</v>
      </c>
    </row>
    <row r="1391" spans="1:3" x14ac:dyDescent="0.2">
      <c r="A1391" t="str">
        <f t="shared" si="21"/>
        <v>return_code_4123</v>
      </c>
      <c r="B1391" t="s">
        <v>5660</v>
      </c>
      <c r="C1391" t="s">
        <v>5661</v>
      </c>
    </row>
    <row r="1392" spans="1:3" x14ac:dyDescent="0.2">
      <c r="A1392" t="str">
        <f t="shared" si="21"/>
        <v>return_code_4124</v>
      </c>
      <c r="B1392" t="s">
        <v>5662</v>
      </c>
      <c r="C1392" t="s">
        <v>5663</v>
      </c>
    </row>
    <row r="1393" spans="1:3" x14ac:dyDescent="0.2">
      <c r="A1393" t="str">
        <f t="shared" si="21"/>
        <v>return_code_4125</v>
      </c>
      <c r="B1393" t="s">
        <v>5664</v>
      </c>
      <c r="C1393" t="s">
        <v>5665</v>
      </c>
    </row>
    <row r="1394" spans="1:3" x14ac:dyDescent="0.2">
      <c r="A1394" t="str">
        <f t="shared" si="21"/>
        <v>return_code_4126</v>
      </c>
      <c r="B1394" t="s">
        <v>5666</v>
      </c>
      <c r="C1394" t="s">
        <v>5667</v>
      </c>
    </row>
    <row r="1395" spans="1:3" x14ac:dyDescent="0.2">
      <c r="A1395" t="str">
        <f t="shared" si="21"/>
        <v>return_code_4127</v>
      </c>
      <c r="B1395" t="s">
        <v>5668</v>
      </c>
      <c r="C1395" t="s">
        <v>5669</v>
      </c>
    </row>
    <row r="1396" spans="1:3" x14ac:dyDescent="0.2">
      <c r="A1396" t="str">
        <f t="shared" si="21"/>
        <v>return_code_4128</v>
      </c>
      <c r="B1396" t="s">
        <v>5670</v>
      </c>
      <c r="C1396" t="s">
        <v>5671</v>
      </c>
    </row>
    <row r="1397" spans="1:3" x14ac:dyDescent="0.2">
      <c r="A1397" t="str">
        <f t="shared" si="21"/>
        <v>return_code_4129</v>
      </c>
      <c r="B1397" t="s">
        <v>5672</v>
      </c>
      <c r="C1397" t="s">
        <v>5673</v>
      </c>
    </row>
    <row r="1398" spans="1:3" x14ac:dyDescent="0.2">
      <c r="A1398" t="str">
        <f t="shared" si="21"/>
        <v>return_code_4130</v>
      </c>
      <c r="B1398" t="s">
        <v>5674</v>
      </c>
      <c r="C1398" t="s">
        <v>5675</v>
      </c>
    </row>
    <row r="1399" spans="1:3" x14ac:dyDescent="0.2">
      <c r="A1399" t="str">
        <f t="shared" si="21"/>
        <v>return_code_4131</v>
      </c>
      <c r="B1399" t="s">
        <v>5676</v>
      </c>
      <c r="C1399" t="s">
        <v>5677</v>
      </c>
    </row>
    <row r="1400" spans="1:3" x14ac:dyDescent="0.2">
      <c r="A1400" t="str">
        <f t="shared" si="21"/>
        <v>return_code_4132</v>
      </c>
      <c r="B1400" t="s">
        <v>5678</v>
      </c>
      <c r="C1400" t="s">
        <v>5679</v>
      </c>
    </row>
    <row r="1401" spans="1:3" x14ac:dyDescent="0.2">
      <c r="A1401" t="str">
        <f t="shared" si="21"/>
        <v>return_code_4133</v>
      </c>
      <c r="B1401" t="s">
        <v>5680</v>
      </c>
      <c r="C1401" t="s">
        <v>5681</v>
      </c>
    </row>
    <row r="1402" spans="1:3" x14ac:dyDescent="0.2">
      <c r="A1402" t="str">
        <f t="shared" si="21"/>
        <v>return_code_4134</v>
      </c>
      <c r="B1402" t="s">
        <v>5682</v>
      </c>
      <c r="C1402" t="s">
        <v>5683</v>
      </c>
    </row>
    <row r="1403" spans="1:3" x14ac:dyDescent="0.2">
      <c r="A1403" t="str">
        <f t="shared" si="21"/>
        <v>return_code_4135</v>
      </c>
      <c r="B1403" t="s">
        <v>5684</v>
      </c>
      <c r="C1403" t="s">
        <v>5685</v>
      </c>
    </row>
    <row r="1404" spans="1:3" x14ac:dyDescent="0.2">
      <c r="A1404" t="str">
        <f t="shared" si="21"/>
        <v>return_code_4136</v>
      </c>
      <c r="B1404" t="s">
        <v>5686</v>
      </c>
      <c r="C1404" t="s">
        <v>5687</v>
      </c>
    </row>
    <row r="1405" spans="1:3" x14ac:dyDescent="0.2">
      <c r="A1405" t="str">
        <f t="shared" si="21"/>
        <v>return_code_4137</v>
      </c>
      <c r="B1405" t="s">
        <v>5688</v>
      </c>
      <c r="C1405" t="s">
        <v>5689</v>
      </c>
    </row>
    <row r="1406" spans="1:3" x14ac:dyDescent="0.2">
      <c r="A1406" t="str">
        <f t="shared" si="21"/>
        <v>return_code_4138</v>
      </c>
      <c r="B1406" t="s">
        <v>5690</v>
      </c>
      <c r="C1406" t="s">
        <v>5691</v>
      </c>
    </row>
    <row r="1407" spans="1:3" x14ac:dyDescent="0.2">
      <c r="A1407" t="str">
        <f t="shared" si="21"/>
        <v>return_code_4139</v>
      </c>
      <c r="B1407" t="s">
        <v>5692</v>
      </c>
      <c r="C1407" t="s">
        <v>5693</v>
      </c>
    </row>
    <row r="1408" spans="1:3" x14ac:dyDescent="0.2">
      <c r="A1408" t="str">
        <f t="shared" si="21"/>
        <v>return_code_4140</v>
      </c>
      <c r="B1408" t="s">
        <v>5694</v>
      </c>
      <c r="C1408" t="s">
        <v>5695</v>
      </c>
    </row>
    <row r="1409" spans="1:3" x14ac:dyDescent="0.2">
      <c r="A1409" t="str">
        <f t="shared" ref="A1409:A1472" si="22">CONCATENATE("return_code_",B1409)</f>
        <v>return_code_4141</v>
      </c>
      <c r="B1409" t="s">
        <v>5696</v>
      </c>
      <c r="C1409" t="s">
        <v>5697</v>
      </c>
    </row>
    <row r="1410" spans="1:3" x14ac:dyDescent="0.2">
      <c r="A1410" t="str">
        <f t="shared" si="22"/>
        <v>return_code_4142</v>
      </c>
      <c r="B1410" t="s">
        <v>5698</v>
      </c>
      <c r="C1410" t="s">
        <v>5699</v>
      </c>
    </row>
    <row r="1411" spans="1:3" x14ac:dyDescent="0.2">
      <c r="A1411" t="str">
        <f t="shared" si="22"/>
        <v>return_code_4143</v>
      </c>
      <c r="B1411" t="s">
        <v>5700</v>
      </c>
      <c r="C1411" t="s">
        <v>5701</v>
      </c>
    </row>
    <row r="1412" spans="1:3" x14ac:dyDescent="0.2">
      <c r="A1412" t="str">
        <f t="shared" si="22"/>
        <v>return_code_4144</v>
      </c>
      <c r="B1412" t="s">
        <v>5702</v>
      </c>
      <c r="C1412" t="s">
        <v>5703</v>
      </c>
    </row>
    <row r="1413" spans="1:3" x14ac:dyDescent="0.2">
      <c r="A1413" t="str">
        <f t="shared" si="22"/>
        <v>return_code_4145</v>
      </c>
      <c r="B1413" t="s">
        <v>5704</v>
      </c>
      <c r="C1413" t="s">
        <v>5705</v>
      </c>
    </row>
    <row r="1414" spans="1:3" x14ac:dyDescent="0.2">
      <c r="A1414" t="str">
        <f t="shared" si="22"/>
        <v>return_code_4146</v>
      </c>
      <c r="B1414" t="s">
        <v>5706</v>
      </c>
      <c r="C1414" t="s">
        <v>5707</v>
      </c>
    </row>
    <row r="1415" spans="1:3" x14ac:dyDescent="0.2">
      <c r="A1415" t="str">
        <f t="shared" si="22"/>
        <v>return_code_4147</v>
      </c>
      <c r="B1415" t="s">
        <v>5708</v>
      </c>
      <c r="C1415" t="s">
        <v>5709</v>
      </c>
    </row>
    <row r="1416" spans="1:3" x14ac:dyDescent="0.2">
      <c r="A1416" t="str">
        <f t="shared" si="22"/>
        <v>return_code_4148</v>
      </c>
      <c r="B1416" t="s">
        <v>5710</v>
      </c>
      <c r="C1416" t="s">
        <v>5711</v>
      </c>
    </row>
    <row r="1417" spans="1:3" x14ac:dyDescent="0.2">
      <c r="A1417" t="str">
        <f t="shared" si="22"/>
        <v>return_code_4149</v>
      </c>
      <c r="B1417" t="s">
        <v>5712</v>
      </c>
      <c r="C1417" t="s">
        <v>5713</v>
      </c>
    </row>
    <row r="1418" spans="1:3" x14ac:dyDescent="0.2">
      <c r="A1418" t="str">
        <f t="shared" si="22"/>
        <v>return_code_4150</v>
      </c>
      <c r="B1418" t="s">
        <v>5714</v>
      </c>
      <c r="C1418" t="s">
        <v>5715</v>
      </c>
    </row>
    <row r="1419" spans="1:3" x14ac:dyDescent="0.2">
      <c r="A1419" t="str">
        <f t="shared" si="22"/>
        <v>return_code_4151</v>
      </c>
      <c r="B1419" t="s">
        <v>5716</v>
      </c>
      <c r="C1419" t="s">
        <v>5717</v>
      </c>
    </row>
    <row r="1420" spans="1:3" x14ac:dyDescent="0.2">
      <c r="A1420" t="str">
        <f t="shared" si="22"/>
        <v>return_code_4152</v>
      </c>
      <c r="B1420" t="s">
        <v>5718</v>
      </c>
      <c r="C1420" t="s">
        <v>5719</v>
      </c>
    </row>
    <row r="1421" spans="1:3" x14ac:dyDescent="0.2">
      <c r="A1421" t="str">
        <f t="shared" si="22"/>
        <v>return_code_4153</v>
      </c>
      <c r="B1421" t="s">
        <v>5720</v>
      </c>
      <c r="C1421" t="s">
        <v>5721</v>
      </c>
    </row>
    <row r="1422" spans="1:3" x14ac:dyDescent="0.2">
      <c r="A1422" t="str">
        <f t="shared" si="22"/>
        <v>return_code_4154</v>
      </c>
      <c r="B1422" t="s">
        <v>5722</v>
      </c>
      <c r="C1422" t="s">
        <v>5723</v>
      </c>
    </row>
    <row r="1423" spans="1:3" x14ac:dyDescent="0.2">
      <c r="A1423" t="str">
        <f t="shared" si="22"/>
        <v>return_code_4155</v>
      </c>
      <c r="B1423" t="s">
        <v>5724</v>
      </c>
      <c r="C1423" t="s">
        <v>5725</v>
      </c>
    </row>
    <row r="1424" spans="1:3" x14ac:dyDescent="0.2">
      <c r="A1424" t="str">
        <f t="shared" si="22"/>
        <v>return_code_4156</v>
      </c>
      <c r="B1424" t="s">
        <v>5726</v>
      </c>
      <c r="C1424" t="s">
        <v>5727</v>
      </c>
    </row>
    <row r="1425" spans="1:3" x14ac:dyDescent="0.2">
      <c r="A1425" t="str">
        <f t="shared" si="22"/>
        <v>return_code_4157</v>
      </c>
      <c r="B1425" t="s">
        <v>5728</v>
      </c>
      <c r="C1425" t="s">
        <v>5729</v>
      </c>
    </row>
    <row r="1426" spans="1:3" x14ac:dyDescent="0.2">
      <c r="A1426" t="str">
        <f t="shared" si="22"/>
        <v>return_code_4158</v>
      </c>
      <c r="B1426" t="s">
        <v>5730</v>
      </c>
      <c r="C1426" t="s">
        <v>5731</v>
      </c>
    </row>
    <row r="1427" spans="1:3" x14ac:dyDescent="0.2">
      <c r="A1427" t="str">
        <f t="shared" si="22"/>
        <v>return_code_4159</v>
      </c>
      <c r="B1427" t="s">
        <v>5732</v>
      </c>
      <c r="C1427" t="s">
        <v>5733</v>
      </c>
    </row>
    <row r="1428" spans="1:3" x14ac:dyDescent="0.2">
      <c r="A1428" t="str">
        <f t="shared" si="22"/>
        <v>return_code_4160</v>
      </c>
      <c r="B1428" t="s">
        <v>5734</v>
      </c>
      <c r="C1428" t="s">
        <v>5735</v>
      </c>
    </row>
    <row r="1429" spans="1:3" x14ac:dyDescent="0.2">
      <c r="A1429" t="str">
        <f t="shared" si="22"/>
        <v>return_code_4161</v>
      </c>
      <c r="B1429" t="s">
        <v>5736</v>
      </c>
      <c r="C1429" t="s">
        <v>5737</v>
      </c>
    </row>
    <row r="1430" spans="1:3" x14ac:dyDescent="0.2">
      <c r="A1430" t="str">
        <f t="shared" si="22"/>
        <v>return_code_4162</v>
      </c>
      <c r="B1430" t="s">
        <v>5738</v>
      </c>
      <c r="C1430" t="s">
        <v>5739</v>
      </c>
    </row>
    <row r="1431" spans="1:3" x14ac:dyDescent="0.2">
      <c r="A1431" t="str">
        <f t="shared" si="22"/>
        <v>return_code_4163</v>
      </c>
      <c r="B1431" t="s">
        <v>5740</v>
      </c>
      <c r="C1431" t="s">
        <v>5741</v>
      </c>
    </row>
    <row r="1432" spans="1:3" x14ac:dyDescent="0.2">
      <c r="A1432" t="str">
        <f t="shared" si="22"/>
        <v>return_code_4164</v>
      </c>
      <c r="B1432" t="s">
        <v>5742</v>
      </c>
      <c r="C1432" t="s">
        <v>5743</v>
      </c>
    </row>
    <row r="1433" spans="1:3" x14ac:dyDescent="0.2">
      <c r="A1433" t="str">
        <f t="shared" si="22"/>
        <v>return_code_4165</v>
      </c>
      <c r="B1433" t="s">
        <v>5744</v>
      </c>
      <c r="C1433" t="s">
        <v>5745</v>
      </c>
    </row>
    <row r="1434" spans="1:3" x14ac:dyDescent="0.2">
      <c r="A1434" t="str">
        <f t="shared" si="22"/>
        <v>return_code_4166</v>
      </c>
      <c r="B1434" t="s">
        <v>5746</v>
      </c>
      <c r="C1434" t="s">
        <v>5747</v>
      </c>
    </row>
    <row r="1435" spans="1:3" x14ac:dyDescent="0.2">
      <c r="A1435" t="str">
        <f t="shared" si="22"/>
        <v>return_code_4167</v>
      </c>
      <c r="B1435" t="s">
        <v>5748</v>
      </c>
      <c r="C1435" t="s">
        <v>5749</v>
      </c>
    </row>
    <row r="1436" spans="1:3" x14ac:dyDescent="0.2">
      <c r="A1436" t="str">
        <f t="shared" si="22"/>
        <v>return_code_4168</v>
      </c>
      <c r="B1436" t="s">
        <v>5750</v>
      </c>
      <c r="C1436" t="s">
        <v>5751</v>
      </c>
    </row>
    <row r="1437" spans="1:3" x14ac:dyDescent="0.2">
      <c r="A1437" t="str">
        <f t="shared" si="22"/>
        <v>return_code_4169</v>
      </c>
      <c r="B1437" t="s">
        <v>5752</v>
      </c>
      <c r="C1437" t="s">
        <v>5753</v>
      </c>
    </row>
    <row r="1438" spans="1:3" x14ac:dyDescent="0.2">
      <c r="A1438" t="str">
        <f t="shared" si="22"/>
        <v>return_code_4170</v>
      </c>
      <c r="B1438" t="s">
        <v>5754</v>
      </c>
      <c r="C1438" t="s">
        <v>5755</v>
      </c>
    </row>
    <row r="1439" spans="1:3" x14ac:dyDescent="0.2">
      <c r="A1439" t="str">
        <f t="shared" si="22"/>
        <v>return_code_4171</v>
      </c>
      <c r="B1439" t="s">
        <v>5756</v>
      </c>
      <c r="C1439" t="s">
        <v>5757</v>
      </c>
    </row>
    <row r="1440" spans="1:3" x14ac:dyDescent="0.2">
      <c r="A1440" t="str">
        <f t="shared" si="22"/>
        <v>return_code_4172</v>
      </c>
      <c r="B1440" t="s">
        <v>5758</v>
      </c>
      <c r="C1440" t="s">
        <v>5759</v>
      </c>
    </row>
    <row r="1441" spans="1:3" x14ac:dyDescent="0.2">
      <c r="A1441" t="str">
        <f t="shared" si="22"/>
        <v>return_code_4173</v>
      </c>
      <c r="B1441" t="s">
        <v>5760</v>
      </c>
      <c r="C1441" t="s">
        <v>5761</v>
      </c>
    </row>
    <row r="1442" spans="1:3" x14ac:dyDescent="0.2">
      <c r="A1442" t="str">
        <f t="shared" si="22"/>
        <v>return_code_4174</v>
      </c>
      <c r="B1442" t="s">
        <v>5762</v>
      </c>
      <c r="C1442" t="s">
        <v>5763</v>
      </c>
    </row>
    <row r="1443" spans="1:3" x14ac:dyDescent="0.2">
      <c r="A1443" t="str">
        <f t="shared" si="22"/>
        <v>return_code_4175</v>
      </c>
      <c r="B1443" t="s">
        <v>5764</v>
      </c>
      <c r="C1443" t="s">
        <v>5765</v>
      </c>
    </row>
    <row r="1444" spans="1:3" x14ac:dyDescent="0.2">
      <c r="A1444" t="str">
        <f t="shared" si="22"/>
        <v>return_code_4176</v>
      </c>
      <c r="B1444" t="s">
        <v>5766</v>
      </c>
      <c r="C1444" t="s">
        <v>5767</v>
      </c>
    </row>
    <row r="1445" spans="1:3" x14ac:dyDescent="0.2">
      <c r="A1445" t="str">
        <f t="shared" si="22"/>
        <v>return_code_4177</v>
      </c>
      <c r="B1445" t="s">
        <v>5768</v>
      </c>
      <c r="C1445" t="s">
        <v>5769</v>
      </c>
    </row>
    <row r="1446" spans="1:3" x14ac:dyDescent="0.2">
      <c r="A1446" t="str">
        <f t="shared" si="22"/>
        <v>return_code_4178</v>
      </c>
      <c r="B1446" t="s">
        <v>5770</v>
      </c>
      <c r="C1446" t="s">
        <v>5771</v>
      </c>
    </row>
    <row r="1447" spans="1:3" x14ac:dyDescent="0.2">
      <c r="A1447" t="str">
        <f t="shared" si="22"/>
        <v>return_code_4179</v>
      </c>
      <c r="B1447" t="s">
        <v>5772</v>
      </c>
      <c r="C1447" t="s">
        <v>5773</v>
      </c>
    </row>
    <row r="1448" spans="1:3" x14ac:dyDescent="0.2">
      <c r="A1448" t="str">
        <f t="shared" si="22"/>
        <v>return_code_4180</v>
      </c>
      <c r="B1448" t="s">
        <v>5774</v>
      </c>
      <c r="C1448" t="s">
        <v>5775</v>
      </c>
    </row>
    <row r="1449" spans="1:3" x14ac:dyDescent="0.2">
      <c r="A1449" t="str">
        <f t="shared" si="22"/>
        <v>return_code_4181</v>
      </c>
      <c r="B1449" t="s">
        <v>5776</v>
      </c>
      <c r="C1449" t="s">
        <v>5777</v>
      </c>
    </row>
    <row r="1450" spans="1:3" x14ac:dyDescent="0.2">
      <c r="A1450" t="str">
        <f t="shared" si="22"/>
        <v>return_code_4182</v>
      </c>
      <c r="B1450" t="s">
        <v>5778</v>
      </c>
      <c r="C1450" t="s">
        <v>5779</v>
      </c>
    </row>
    <row r="1451" spans="1:3" x14ac:dyDescent="0.2">
      <c r="A1451" t="str">
        <f t="shared" si="22"/>
        <v>return_code_4183</v>
      </c>
      <c r="B1451" t="s">
        <v>5780</v>
      </c>
      <c r="C1451" t="s">
        <v>5781</v>
      </c>
    </row>
    <row r="1452" spans="1:3" x14ac:dyDescent="0.2">
      <c r="A1452" t="str">
        <f t="shared" si="22"/>
        <v>return_code_4184</v>
      </c>
      <c r="B1452" t="s">
        <v>5782</v>
      </c>
      <c r="C1452" t="s">
        <v>5783</v>
      </c>
    </row>
    <row r="1453" spans="1:3" x14ac:dyDescent="0.2">
      <c r="A1453" t="str">
        <f t="shared" si="22"/>
        <v>return_code_4185</v>
      </c>
      <c r="B1453" t="s">
        <v>5784</v>
      </c>
      <c r="C1453" t="s">
        <v>5785</v>
      </c>
    </row>
    <row r="1454" spans="1:3" x14ac:dyDescent="0.2">
      <c r="A1454" t="str">
        <f t="shared" si="22"/>
        <v>return_code_4186</v>
      </c>
      <c r="B1454" t="s">
        <v>5786</v>
      </c>
      <c r="C1454" t="s">
        <v>5787</v>
      </c>
    </row>
    <row r="1455" spans="1:3" x14ac:dyDescent="0.2">
      <c r="A1455" t="str">
        <f t="shared" si="22"/>
        <v>return_code_4187</v>
      </c>
      <c r="B1455" t="s">
        <v>5788</v>
      </c>
      <c r="C1455" t="s">
        <v>5789</v>
      </c>
    </row>
    <row r="1456" spans="1:3" x14ac:dyDescent="0.2">
      <c r="A1456" t="str">
        <f t="shared" si="22"/>
        <v>return_code_4188</v>
      </c>
      <c r="B1456" t="s">
        <v>5790</v>
      </c>
      <c r="C1456" t="s">
        <v>5791</v>
      </c>
    </row>
    <row r="1457" spans="1:3" x14ac:dyDescent="0.2">
      <c r="A1457" t="str">
        <f t="shared" si="22"/>
        <v>return_code_4189</v>
      </c>
      <c r="B1457" t="s">
        <v>5792</v>
      </c>
      <c r="C1457" t="s">
        <v>5793</v>
      </c>
    </row>
    <row r="1458" spans="1:3" x14ac:dyDescent="0.2">
      <c r="A1458" t="str">
        <f t="shared" si="22"/>
        <v>return_code_4190</v>
      </c>
      <c r="B1458" t="s">
        <v>5794</v>
      </c>
      <c r="C1458" t="s">
        <v>5795</v>
      </c>
    </row>
    <row r="1459" spans="1:3" x14ac:dyDescent="0.2">
      <c r="A1459" t="str">
        <f t="shared" si="22"/>
        <v>return_code_4191</v>
      </c>
      <c r="B1459" t="s">
        <v>5796</v>
      </c>
      <c r="C1459" t="s">
        <v>5797</v>
      </c>
    </row>
    <row r="1460" spans="1:3" x14ac:dyDescent="0.2">
      <c r="A1460" t="str">
        <f t="shared" si="22"/>
        <v>return_code_4192</v>
      </c>
      <c r="B1460" t="s">
        <v>5798</v>
      </c>
      <c r="C1460" t="s">
        <v>5799</v>
      </c>
    </row>
    <row r="1461" spans="1:3" x14ac:dyDescent="0.2">
      <c r="A1461" t="str">
        <f t="shared" si="22"/>
        <v>return_code_4193</v>
      </c>
      <c r="B1461" t="s">
        <v>5800</v>
      </c>
      <c r="C1461" t="s">
        <v>5801</v>
      </c>
    </row>
    <row r="1462" spans="1:3" x14ac:dyDescent="0.2">
      <c r="A1462" t="str">
        <f t="shared" si="22"/>
        <v>return_code_4194</v>
      </c>
      <c r="B1462" t="s">
        <v>5802</v>
      </c>
      <c r="C1462" t="s">
        <v>5803</v>
      </c>
    </row>
    <row r="1463" spans="1:3" x14ac:dyDescent="0.2">
      <c r="A1463" t="str">
        <f t="shared" si="22"/>
        <v>return_code_4195</v>
      </c>
      <c r="B1463" t="s">
        <v>5804</v>
      </c>
      <c r="C1463" t="s">
        <v>5805</v>
      </c>
    </row>
    <row r="1464" spans="1:3" x14ac:dyDescent="0.2">
      <c r="A1464" t="str">
        <f t="shared" si="22"/>
        <v>return_code_4196</v>
      </c>
      <c r="B1464" t="s">
        <v>5806</v>
      </c>
      <c r="C1464" t="s">
        <v>5807</v>
      </c>
    </row>
    <row r="1465" spans="1:3" x14ac:dyDescent="0.2">
      <c r="A1465" t="str">
        <f t="shared" si="22"/>
        <v>return_code_4197</v>
      </c>
      <c r="B1465" t="s">
        <v>5808</v>
      </c>
      <c r="C1465" t="s">
        <v>4719</v>
      </c>
    </row>
    <row r="1466" spans="1:3" x14ac:dyDescent="0.2">
      <c r="A1466" t="str">
        <f t="shared" si="22"/>
        <v>return_code_4200</v>
      </c>
      <c r="B1466" t="s">
        <v>5809</v>
      </c>
      <c r="C1466" t="s">
        <v>4890</v>
      </c>
    </row>
    <row r="1467" spans="1:3" x14ac:dyDescent="0.2">
      <c r="A1467" t="str">
        <f t="shared" si="22"/>
        <v>return_code_4201</v>
      </c>
      <c r="B1467" t="s">
        <v>5810</v>
      </c>
      <c r="C1467" t="s">
        <v>5811</v>
      </c>
    </row>
    <row r="1468" spans="1:3" x14ac:dyDescent="0.2">
      <c r="A1468" t="str">
        <f t="shared" si="22"/>
        <v>return_code_4202</v>
      </c>
      <c r="B1468" t="s">
        <v>5812</v>
      </c>
      <c r="C1468" t="s">
        <v>5813</v>
      </c>
    </row>
    <row r="1469" spans="1:3" x14ac:dyDescent="0.2">
      <c r="A1469" t="str">
        <f t="shared" si="22"/>
        <v>return_code_4207</v>
      </c>
      <c r="B1469" t="s">
        <v>5814</v>
      </c>
      <c r="C1469" t="s">
        <v>5815</v>
      </c>
    </row>
    <row r="1470" spans="1:3" x14ac:dyDescent="0.2">
      <c r="A1470" t="str">
        <f t="shared" si="22"/>
        <v>return_code_4208</v>
      </c>
      <c r="B1470" t="s">
        <v>5816</v>
      </c>
      <c r="C1470" t="s">
        <v>4711</v>
      </c>
    </row>
    <row r="1471" spans="1:3" x14ac:dyDescent="0.2">
      <c r="A1471" t="str">
        <f t="shared" si="22"/>
        <v>return_code_4230</v>
      </c>
      <c r="B1471" t="s">
        <v>5817</v>
      </c>
      <c r="C1471" t="s">
        <v>5818</v>
      </c>
    </row>
    <row r="1472" spans="1:3" x14ac:dyDescent="0.2">
      <c r="A1472" t="str">
        <f t="shared" si="22"/>
        <v>return_code_4231</v>
      </c>
      <c r="B1472" t="s">
        <v>5819</v>
      </c>
      <c r="C1472" t="s">
        <v>5820</v>
      </c>
    </row>
    <row r="1473" spans="1:3" x14ac:dyDescent="0.2">
      <c r="A1473" t="str">
        <f t="shared" ref="A1473:A1536" si="23">CONCATENATE("return_code_",B1473)</f>
        <v>return_code_4232</v>
      </c>
      <c r="B1473" t="s">
        <v>5821</v>
      </c>
      <c r="C1473" t="s">
        <v>5822</v>
      </c>
    </row>
    <row r="1474" spans="1:3" x14ac:dyDescent="0.2">
      <c r="A1474" t="str">
        <f t="shared" si="23"/>
        <v>return_code_4233</v>
      </c>
      <c r="B1474" t="s">
        <v>5823</v>
      </c>
      <c r="C1474" t="s">
        <v>5824</v>
      </c>
    </row>
    <row r="1475" spans="1:3" x14ac:dyDescent="0.2">
      <c r="A1475" t="str">
        <f t="shared" si="23"/>
        <v>return_code_4234</v>
      </c>
      <c r="B1475" t="s">
        <v>5825</v>
      </c>
      <c r="C1475" t="s">
        <v>5826</v>
      </c>
    </row>
    <row r="1476" spans="1:3" x14ac:dyDescent="0.2">
      <c r="A1476" t="str">
        <f t="shared" si="23"/>
        <v>return_code_4235</v>
      </c>
      <c r="B1476" t="s">
        <v>5827</v>
      </c>
      <c r="C1476" t="s">
        <v>5828</v>
      </c>
    </row>
    <row r="1477" spans="1:3" x14ac:dyDescent="0.2">
      <c r="A1477" t="str">
        <f t="shared" si="23"/>
        <v>return_code_4236</v>
      </c>
      <c r="B1477" t="s">
        <v>5829</v>
      </c>
      <c r="C1477" t="s">
        <v>5830</v>
      </c>
    </row>
    <row r="1478" spans="1:3" x14ac:dyDescent="0.2">
      <c r="A1478" t="str">
        <f t="shared" si="23"/>
        <v>return_code_4237</v>
      </c>
      <c r="B1478" t="s">
        <v>5831</v>
      </c>
      <c r="C1478" t="s">
        <v>5832</v>
      </c>
    </row>
    <row r="1479" spans="1:3" x14ac:dyDescent="0.2">
      <c r="A1479" t="str">
        <f t="shared" si="23"/>
        <v>return_code_4238</v>
      </c>
      <c r="B1479" t="s">
        <v>5833</v>
      </c>
      <c r="C1479" t="s">
        <v>5834</v>
      </c>
    </row>
    <row r="1480" spans="1:3" x14ac:dyDescent="0.2">
      <c r="A1480" t="str">
        <f t="shared" si="23"/>
        <v>return_code_4239</v>
      </c>
      <c r="B1480" t="s">
        <v>5835</v>
      </c>
      <c r="C1480" t="s">
        <v>5836</v>
      </c>
    </row>
    <row r="1481" spans="1:3" x14ac:dyDescent="0.2">
      <c r="A1481" t="str">
        <f t="shared" si="23"/>
        <v>return_code_4240</v>
      </c>
      <c r="B1481" t="s">
        <v>5837</v>
      </c>
      <c r="C1481" t="s">
        <v>5838</v>
      </c>
    </row>
    <row r="1482" spans="1:3" x14ac:dyDescent="0.2">
      <c r="A1482" t="str">
        <f t="shared" si="23"/>
        <v>return_code_4241</v>
      </c>
      <c r="B1482" t="s">
        <v>5839</v>
      </c>
      <c r="C1482" t="s">
        <v>5840</v>
      </c>
    </row>
    <row r="1483" spans="1:3" x14ac:dyDescent="0.2">
      <c r="A1483" t="str">
        <f t="shared" si="23"/>
        <v>return_code_4242</v>
      </c>
      <c r="B1483" t="s">
        <v>5841</v>
      </c>
      <c r="C1483" t="s">
        <v>5842</v>
      </c>
    </row>
    <row r="1484" spans="1:3" x14ac:dyDescent="0.2">
      <c r="A1484" t="str">
        <f t="shared" si="23"/>
        <v>return_code_4243</v>
      </c>
      <c r="B1484" t="s">
        <v>5843</v>
      </c>
      <c r="C1484" t="s">
        <v>5844</v>
      </c>
    </row>
    <row r="1485" spans="1:3" x14ac:dyDescent="0.2">
      <c r="A1485" t="str">
        <f t="shared" si="23"/>
        <v>return_code_4244</v>
      </c>
      <c r="B1485" t="s">
        <v>5845</v>
      </c>
      <c r="C1485" t="s">
        <v>5846</v>
      </c>
    </row>
    <row r="1486" spans="1:3" x14ac:dyDescent="0.2">
      <c r="A1486" t="str">
        <f t="shared" si="23"/>
        <v>return_code_4245</v>
      </c>
      <c r="B1486" t="s">
        <v>5847</v>
      </c>
      <c r="C1486" t="s">
        <v>5420</v>
      </c>
    </row>
    <row r="1487" spans="1:3" x14ac:dyDescent="0.2">
      <c r="A1487" t="str">
        <f t="shared" si="23"/>
        <v>return_code_4246</v>
      </c>
      <c r="B1487" t="s">
        <v>5848</v>
      </c>
      <c r="C1487" t="s">
        <v>5849</v>
      </c>
    </row>
    <row r="1488" spans="1:3" x14ac:dyDescent="0.2">
      <c r="A1488" t="str">
        <f t="shared" si="23"/>
        <v>return_code_4247</v>
      </c>
      <c r="B1488" t="s">
        <v>5850</v>
      </c>
      <c r="C1488" t="s">
        <v>5851</v>
      </c>
    </row>
    <row r="1489" spans="1:3" x14ac:dyDescent="0.2">
      <c r="A1489" t="str">
        <f t="shared" si="23"/>
        <v>return_code_4248</v>
      </c>
      <c r="B1489" t="s">
        <v>5852</v>
      </c>
      <c r="C1489" t="s">
        <v>5853</v>
      </c>
    </row>
    <row r="1490" spans="1:3" x14ac:dyDescent="0.2">
      <c r="A1490" t="str">
        <f t="shared" si="23"/>
        <v>return_code_4249</v>
      </c>
      <c r="B1490" t="s">
        <v>5854</v>
      </c>
      <c r="C1490" t="s">
        <v>5855</v>
      </c>
    </row>
    <row r="1491" spans="1:3" x14ac:dyDescent="0.2">
      <c r="A1491" t="str">
        <f t="shared" si="23"/>
        <v>return_code_4250</v>
      </c>
      <c r="B1491" t="s">
        <v>5856</v>
      </c>
      <c r="C1491" t="s">
        <v>5857</v>
      </c>
    </row>
    <row r="1492" spans="1:3" x14ac:dyDescent="0.2">
      <c r="A1492" t="str">
        <f t="shared" si="23"/>
        <v>return_code_4251</v>
      </c>
      <c r="B1492" t="s">
        <v>5858</v>
      </c>
      <c r="C1492" t="s">
        <v>5859</v>
      </c>
    </row>
    <row r="1493" spans="1:3" x14ac:dyDescent="0.2">
      <c r="A1493" t="str">
        <f t="shared" si="23"/>
        <v>return_code_4252</v>
      </c>
      <c r="B1493" t="s">
        <v>5860</v>
      </c>
      <c r="C1493" t="s">
        <v>5861</v>
      </c>
    </row>
    <row r="1494" spans="1:3" x14ac:dyDescent="0.2">
      <c r="A1494" t="str">
        <f t="shared" si="23"/>
        <v>return_code_4253</v>
      </c>
      <c r="B1494" t="s">
        <v>5862</v>
      </c>
      <c r="C1494" t="s">
        <v>5863</v>
      </c>
    </row>
    <row r="1495" spans="1:3" x14ac:dyDescent="0.2">
      <c r="A1495" t="str">
        <f t="shared" si="23"/>
        <v>return_code_4254</v>
      </c>
      <c r="B1495" t="s">
        <v>5864</v>
      </c>
      <c r="C1495" t="s">
        <v>5865</v>
      </c>
    </row>
    <row r="1496" spans="1:3" x14ac:dyDescent="0.2">
      <c r="A1496" t="str">
        <f t="shared" si="23"/>
        <v>return_code_4255</v>
      </c>
      <c r="B1496" t="s">
        <v>5866</v>
      </c>
      <c r="C1496" t="s">
        <v>5867</v>
      </c>
    </row>
    <row r="1497" spans="1:3" x14ac:dyDescent="0.2">
      <c r="A1497" t="str">
        <f t="shared" si="23"/>
        <v>return_code_4256</v>
      </c>
      <c r="B1497" t="s">
        <v>5868</v>
      </c>
      <c r="C1497" t="s">
        <v>5869</v>
      </c>
    </row>
    <row r="1498" spans="1:3" x14ac:dyDescent="0.2">
      <c r="A1498" t="str">
        <f t="shared" si="23"/>
        <v>return_code_4257</v>
      </c>
      <c r="B1498" t="s">
        <v>5870</v>
      </c>
      <c r="C1498" t="s">
        <v>5871</v>
      </c>
    </row>
    <row r="1499" spans="1:3" x14ac:dyDescent="0.2">
      <c r="A1499" t="str">
        <f t="shared" si="23"/>
        <v>return_code_4258</v>
      </c>
      <c r="B1499" t="s">
        <v>5872</v>
      </c>
      <c r="C1499" t="s">
        <v>5873</v>
      </c>
    </row>
    <row r="1500" spans="1:3" x14ac:dyDescent="0.2">
      <c r="A1500" t="str">
        <f t="shared" si="23"/>
        <v>return_code_4259</v>
      </c>
      <c r="B1500" t="s">
        <v>5874</v>
      </c>
      <c r="C1500" t="s">
        <v>5875</v>
      </c>
    </row>
    <row r="1501" spans="1:3" x14ac:dyDescent="0.2">
      <c r="A1501" t="str">
        <f t="shared" si="23"/>
        <v>return_code_4260</v>
      </c>
      <c r="B1501" t="s">
        <v>5876</v>
      </c>
      <c r="C1501" t="s">
        <v>5877</v>
      </c>
    </row>
    <row r="1502" spans="1:3" x14ac:dyDescent="0.2">
      <c r="A1502" t="str">
        <f t="shared" si="23"/>
        <v>return_code_4261</v>
      </c>
      <c r="B1502" t="s">
        <v>5878</v>
      </c>
      <c r="C1502" t="s">
        <v>5879</v>
      </c>
    </row>
    <row r="1503" spans="1:3" x14ac:dyDescent="0.2">
      <c r="A1503" t="str">
        <f t="shared" si="23"/>
        <v>return_code_4262</v>
      </c>
      <c r="B1503" t="s">
        <v>5880</v>
      </c>
      <c r="C1503" t="s">
        <v>5881</v>
      </c>
    </row>
    <row r="1504" spans="1:3" x14ac:dyDescent="0.2">
      <c r="A1504" t="str">
        <f t="shared" si="23"/>
        <v>return_code_4263</v>
      </c>
      <c r="B1504" t="s">
        <v>5882</v>
      </c>
      <c r="C1504" t="s">
        <v>5883</v>
      </c>
    </row>
    <row r="1505" spans="1:3" x14ac:dyDescent="0.2">
      <c r="A1505" t="str">
        <f t="shared" si="23"/>
        <v>return_code_4264</v>
      </c>
      <c r="B1505" t="s">
        <v>5884</v>
      </c>
      <c r="C1505" t="s">
        <v>5885</v>
      </c>
    </row>
    <row r="1506" spans="1:3" x14ac:dyDescent="0.2">
      <c r="A1506" t="str">
        <f t="shared" si="23"/>
        <v>return_code_4265</v>
      </c>
      <c r="B1506" t="s">
        <v>5886</v>
      </c>
      <c r="C1506" t="s">
        <v>5887</v>
      </c>
    </row>
    <row r="1507" spans="1:3" x14ac:dyDescent="0.2">
      <c r="A1507" t="str">
        <f t="shared" si="23"/>
        <v>return_code_4266</v>
      </c>
      <c r="B1507" t="s">
        <v>5888</v>
      </c>
      <c r="C1507" t="s">
        <v>5889</v>
      </c>
    </row>
    <row r="1508" spans="1:3" x14ac:dyDescent="0.2">
      <c r="A1508" t="str">
        <f t="shared" si="23"/>
        <v>return_code_4267</v>
      </c>
      <c r="B1508" t="s">
        <v>5890</v>
      </c>
      <c r="C1508" t="s">
        <v>5891</v>
      </c>
    </row>
    <row r="1509" spans="1:3" x14ac:dyDescent="0.2">
      <c r="A1509" t="str">
        <f t="shared" si="23"/>
        <v>return_code_4268</v>
      </c>
      <c r="B1509" t="s">
        <v>5892</v>
      </c>
      <c r="C1509" t="s">
        <v>5893</v>
      </c>
    </row>
    <row r="1510" spans="1:3" x14ac:dyDescent="0.2">
      <c r="A1510" t="str">
        <f t="shared" si="23"/>
        <v>return_code_4269</v>
      </c>
      <c r="B1510" t="s">
        <v>5894</v>
      </c>
      <c r="C1510" t="s">
        <v>5895</v>
      </c>
    </row>
    <row r="1511" spans="1:3" x14ac:dyDescent="0.2">
      <c r="A1511" t="str">
        <f t="shared" si="23"/>
        <v>return_code_4270</v>
      </c>
      <c r="B1511" t="s">
        <v>5896</v>
      </c>
      <c r="C1511" t="s">
        <v>5897</v>
      </c>
    </row>
    <row r="1512" spans="1:3" x14ac:dyDescent="0.2">
      <c r="A1512" t="str">
        <f t="shared" si="23"/>
        <v>return_code_4271</v>
      </c>
      <c r="B1512" t="s">
        <v>5898</v>
      </c>
      <c r="C1512" t="s">
        <v>5899</v>
      </c>
    </row>
    <row r="1513" spans="1:3" x14ac:dyDescent="0.2">
      <c r="A1513" t="str">
        <f t="shared" si="23"/>
        <v>return_code_4272</v>
      </c>
      <c r="B1513" t="s">
        <v>5900</v>
      </c>
      <c r="C1513" t="s">
        <v>5901</v>
      </c>
    </row>
    <row r="1514" spans="1:3" x14ac:dyDescent="0.2">
      <c r="A1514" t="str">
        <f t="shared" si="23"/>
        <v>return_code_4273</v>
      </c>
      <c r="B1514" t="s">
        <v>5902</v>
      </c>
      <c r="C1514" t="s">
        <v>5903</v>
      </c>
    </row>
    <row r="1515" spans="1:3" x14ac:dyDescent="0.2">
      <c r="A1515" t="str">
        <f t="shared" si="23"/>
        <v>return_code_4274</v>
      </c>
      <c r="B1515" t="s">
        <v>5904</v>
      </c>
      <c r="C1515" t="s">
        <v>5905</v>
      </c>
    </row>
    <row r="1516" spans="1:3" x14ac:dyDescent="0.2">
      <c r="A1516" t="str">
        <f t="shared" si="23"/>
        <v>return_code_4275</v>
      </c>
      <c r="B1516" t="s">
        <v>5906</v>
      </c>
      <c r="C1516" t="s">
        <v>5907</v>
      </c>
    </row>
    <row r="1517" spans="1:3" x14ac:dyDescent="0.2">
      <c r="A1517" t="str">
        <f t="shared" si="23"/>
        <v>return_code_4276</v>
      </c>
      <c r="B1517" t="s">
        <v>5908</v>
      </c>
      <c r="C1517" t="s">
        <v>5909</v>
      </c>
    </row>
    <row r="1518" spans="1:3" x14ac:dyDescent="0.2">
      <c r="A1518" t="str">
        <f t="shared" si="23"/>
        <v>return_code_4277</v>
      </c>
      <c r="B1518" t="s">
        <v>5910</v>
      </c>
      <c r="C1518" t="s">
        <v>5911</v>
      </c>
    </row>
    <row r="1519" spans="1:3" x14ac:dyDescent="0.2">
      <c r="A1519" t="str">
        <f t="shared" si="23"/>
        <v>return_code_4278</v>
      </c>
      <c r="B1519" t="s">
        <v>5912</v>
      </c>
      <c r="C1519" t="s">
        <v>5913</v>
      </c>
    </row>
    <row r="1520" spans="1:3" x14ac:dyDescent="0.2">
      <c r="A1520" t="str">
        <f t="shared" si="23"/>
        <v>return_code_4279</v>
      </c>
      <c r="B1520" t="s">
        <v>5914</v>
      </c>
      <c r="C1520" t="s">
        <v>5915</v>
      </c>
    </row>
    <row r="1521" spans="1:3" x14ac:dyDescent="0.2">
      <c r="A1521" t="str">
        <f t="shared" si="23"/>
        <v>return_code_4280</v>
      </c>
      <c r="B1521" t="s">
        <v>5916</v>
      </c>
      <c r="C1521" t="s">
        <v>5917</v>
      </c>
    </row>
    <row r="1522" spans="1:3" x14ac:dyDescent="0.2">
      <c r="A1522" t="str">
        <f t="shared" si="23"/>
        <v>return_code_4281</v>
      </c>
      <c r="B1522" t="s">
        <v>5918</v>
      </c>
      <c r="C1522" t="s">
        <v>5919</v>
      </c>
    </row>
    <row r="1523" spans="1:3" x14ac:dyDescent="0.2">
      <c r="A1523" t="str">
        <f t="shared" si="23"/>
        <v>return_code_4282</v>
      </c>
      <c r="B1523" t="s">
        <v>5920</v>
      </c>
      <c r="C1523" t="s">
        <v>5921</v>
      </c>
    </row>
    <row r="1524" spans="1:3" x14ac:dyDescent="0.2">
      <c r="A1524" t="str">
        <f t="shared" si="23"/>
        <v>return_code_4283</v>
      </c>
      <c r="B1524" t="s">
        <v>5922</v>
      </c>
      <c r="C1524" t="s">
        <v>5923</v>
      </c>
    </row>
    <row r="1525" spans="1:3" x14ac:dyDescent="0.2">
      <c r="A1525" t="str">
        <f t="shared" si="23"/>
        <v>return_code_4284</v>
      </c>
      <c r="B1525" t="s">
        <v>5924</v>
      </c>
      <c r="C1525" t="s">
        <v>5925</v>
      </c>
    </row>
    <row r="1526" spans="1:3" x14ac:dyDescent="0.2">
      <c r="A1526" t="str">
        <f t="shared" si="23"/>
        <v>return_code_4285</v>
      </c>
      <c r="B1526" t="s">
        <v>5926</v>
      </c>
      <c r="C1526" t="s">
        <v>5927</v>
      </c>
    </row>
    <row r="1527" spans="1:3" x14ac:dyDescent="0.2">
      <c r="A1527" t="str">
        <f t="shared" si="23"/>
        <v>return_code_4286</v>
      </c>
      <c r="B1527" t="s">
        <v>5928</v>
      </c>
      <c r="C1527" t="s">
        <v>5929</v>
      </c>
    </row>
    <row r="1528" spans="1:3" x14ac:dyDescent="0.2">
      <c r="A1528" t="str">
        <f t="shared" si="23"/>
        <v>return_code_4287</v>
      </c>
      <c r="B1528" t="s">
        <v>5930</v>
      </c>
      <c r="C1528" t="s">
        <v>5931</v>
      </c>
    </row>
    <row r="1529" spans="1:3" x14ac:dyDescent="0.2">
      <c r="A1529" t="str">
        <f t="shared" si="23"/>
        <v>return_code_4288</v>
      </c>
      <c r="B1529" t="s">
        <v>5932</v>
      </c>
      <c r="C1529" t="s">
        <v>5933</v>
      </c>
    </row>
    <row r="1530" spans="1:3" x14ac:dyDescent="0.2">
      <c r="A1530" t="str">
        <f t="shared" si="23"/>
        <v>return_code_4289</v>
      </c>
      <c r="B1530" t="s">
        <v>5934</v>
      </c>
      <c r="C1530" t="s">
        <v>5935</v>
      </c>
    </row>
    <row r="1531" spans="1:3" x14ac:dyDescent="0.2">
      <c r="A1531" t="str">
        <f t="shared" si="23"/>
        <v>return_code_4290</v>
      </c>
      <c r="B1531" t="s">
        <v>2788</v>
      </c>
      <c r="C1531" t="s">
        <v>5936</v>
      </c>
    </row>
    <row r="1532" spans="1:3" x14ac:dyDescent="0.2">
      <c r="A1532" t="str">
        <f t="shared" si="23"/>
        <v>return_code_4291</v>
      </c>
      <c r="B1532" t="s">
        <v>5937</v>
      </c>
      <c r="C1532" t="s">
        <v>5938</v>
      </c>
    </row>
    <row r="1533" spans="1:3" x14ac:dyDescent="0.2">
      <c r="A1533" t="str">
        <f t="shared" si="23"/>
        <v>return_code_4292</v>
      </c>
      <c r="B1533" t="s">
        <v>5939</v>
      </c>
      <c r="C1533" t="s">
        <v>5940</v>
      </c>
    </row>
    <row r="1534" spans="1:3" x14ac:dyDescent="0.2">
      <c r="A1534" t="str">
        <f t="shared" si="23"/>
        <v>return_code_4293</v>
      </c>
      <c r="B1534" t="s">
        <v>5941</v>
      </c>
      <c r="C1534" t="s">
        <v>5069</v>
      </c>
    </row>
    <row r="1535" spans="1:3" x14ac:dyDescent="0.2">
      <c r="A1535" t="str">
        <f t="shared" si="23"/>
        <v>return_code_4294</v>
      </c>
      <c r="B1535" t="s">
        <v>5942</v>
      </c>
      <c r="C1535" t="s">
        <v>5455</v>
      </c>
    </row>
    <row r="1536" spans="1:3" x14ac:dyDescent="0.2">
      <c r="A1536" t="str">
        <f t="shared" si="23"/>
        <v>return_code_4295</v>
      </c>
      <c r="B1536" t="s">
        <v>5943</v>
      </c>
      <c r="C1536" t="s">
        <v>5103</v>
      </c>
    </row>
    <row r="1537" spans="1:3" x14ac:dyDescent="0.2">
      <c r="A1537" t="str">
        <f t="shared" ref="A1537:A1600" si="24">CONCATENATE("return_code_",B1537)</f>
        <v>return_code_4296</v>
      </c>
      <c r="B1537" t="s">
        <v>5944</v>
      </c>
      <c r="C1537" t="s">
        <v>5105</v>
      </c>
    </row>
    <row r="1538" spans="1:3" x14ac:dyDescent="0.2">
      <c r="A1538" t="str">
        <f t="shared" si="24"/>
        <v>return_code_4297</v>
      </c>
      <c r="B1538" t="s">
        <v>5945</v>
      </c>
      <c r="C1538" t="s">
        <v>5107</v>
      </c>
    </row>
    <row r="1539" spans="1:3" x14ac:dyDescent="0.2">
      <c r="A1539" t="str">
        <f t="shared" si="24"/>
        <v>return_code_4298</v>
      </c>
      <c r="B1539" t="s">
        <v>5946</v>
      </c>
      <c r="C1539" t="s">
        <v>5129</v>
      </c>
    </row>
    <row r="1540" spans="1:3" x14ac:dyDescent="0.2">
      <c r="A1540" t="str">
        <f t="shared" si="24"/>
        <v>return_code_4299</v>
      </c>
      <c r="B1540" t="s">
        <v>5947</v>
      </c>
      <c r="C1540" t="s">
        <v>5102</v>
      </c>
    </row>
    <row r="1541" spans="1:3" x14ac:dyDescent="0.2">
      <c r="A1541" t="str">
        <f t="shared" si="24"/>
        <v>return_code_4300</v>
      </c>
      <c r="B1541" t="s">
        <v>5948</v>
      </c>
      <c r="C1541" t="s">
        <v>5115</v>
      </c>
    </row>
    <row r="1542" spans="1:3" x14ac:dyDescent="0.2">
      <c r="A1542" t="str">
        <f t="shared" si="24"/>
        <v>return_code_4301</v>
      </c>
      <c r="B1542" t="s">
        <v>5949</v>
      </c>
      <c r="C1542" t="s">
        <v>5400</v>
      </c>
    </row>
    <row r="1543" spans="1:3" x14ac:dyDescent="0.2">
      <c r="A1543" t="str">
        <f t="shared" si="24"/>
        <v>return_code_4302</v>
      </c>
      <c r="B1543" t="s">
        <v>5950</v>
      </c>
      <c r="C1543" t="s">
        <v>5951</v>
      </c>
    </row>
    <row r="1544" spans="1:3" x14ac:dyDescent="0.2">
      <c r="A1544" t="str">
        <f t="shared" si="24"/>
        <v>return_code_4303</v>
      </c>
      <c r="B1544" t="s">
        <v>5952</v>
      </c>
      <c r="C1544" t="s">
        <v>5113</v>
      </c>
    </row>
    <row r="1545" spans="1:3" x14ac:dyDescent="0.2">
      <c r="A1545" t="str">
        <f t="shared" si="24"/>
        <v>return_code_4304</v>
      </c>
      <c r="B1545" t="s">
        <v>5953</v>
      </c>
      <c r="C1545" t="s">
        <v>5046</v>
      </c>
    </row>
    <row r="1546" spans="1:3" x14ac:dyDescent="0.2">
      <c r="A1546" t="str">
        <f t="shared" si="24"/>
        <v>return_code_4305</v>
      </c>
      <c r="B1546" t="s">
        <v>5954</v>
      </c>
      <c r="C1546" t="s">
        <v>5119</v>
      </c>
    </row>
    <row r="1547" spans="1:3" x14ac:dyDescent="0.2">
      <c r="A1547" t="str">
        <f t="shared" si="24"/>
        <v>return_code_4306</v>
      </c>
      <c r="B1547" t="s">
        <v>5955</v>
      </c>
      <c r="C1547" t="s">
        <v>5047</v>
      </c>
    </row>
    <row r="1548" spans="1:3" x14ac:dyDescent="0.2">
      <c r="A1548" t="str">
        <f t="shared" si="24"/>
        <v>return_code_4307</v>
      </c>
      <c r="B1548" t="s">
        <v>5956</v>
      </c>
      <c r="C1548" t="s">
        <v>5184</v>
      </c>
    </row>
    <row r="1549" spans="1:3" x14ac:dyDescent="0.2">
      <c r="A1549" t="str">
        <f t="shared" si="24"/>
        <v>return_code_4308</v>
      </c>
      <c r="B1549" t="s">
        <v>5957</v>
      </c>
      <c r="C1549" t="s">
        <v>5186</v>
      </c>
    </row>
    <row r="1550" spans="1:3" x14ac:dyDescent="0.2">
      <c r="A1550" t="str">
        <f t="shared" si="24"/>
        <v>return_code_4309</v>
      </c>
      <c r="B1550" t="s">
        <v>5958</v>
      </c>
      <c r="C1550" t="s">
        <v>5180</v>
      </c>
    </row>
    <row r="1551" spans="1:3" x14ac:dyDescent="0.2">
      <c r="A1551" t="str">
        <f t="shared" si="24"/>
        <v>return_code_4310</v>
      </c>
      <c r="B1551" t="s">
        <v>5959</v>
      </c>
      <c r="C1551" t="s">
        <v>5459</v>
      </c>
    </row>
    <row r="1552" spans="1:3" x14ac:dyDescent="0.2">
      <c r="A1552" t="str">
        <f t="shared" si="24"/>
        <v>return_code_4311</v>
      </c>
      <c r="B1552" t="s">
        <v>2790</v>
      </c>
      <c r="C1552" t="s">
        <v>5232</v>
      </c>
    </row>
    <row r="1553" spans="1:3" x14ac:dyDescent="0.2">
      <c r="A1553" t="str">
        <f t="shared" si="24"/>
        <v>return_code_4312</v>
      </c>
      <c r="B1553" t="s">
        <v>2792</v>
      </c>
      <c r="C1553" t="s">
        <v>5960</v>
      </c>
    </row>
    <row r="1554" spans="1:3" x14ac:dyDescent="0.2">
      <c r="A1554" t="str">
        <f t="shared" si="24"/>
        <v>return_code_4313</v>
      </c>
      <c r="B1554" t="s">
        <v>5961</v>
      </c>
      <c r="C1554" t="s">
        <v>5962</v>
      </c>
    </row>
    <row r="1555" spans="1:3" x14ac:dyDescent="0.2">
      <c r="A1555" t="str">
        <f t="shared" si="24"/>
        <v>return_code_4314</v>
      </c>
      <c r="B1555" t="s">
        <v>5963</v>
      </c>
      <c r="C1555" t="s">
        <v>5463</v>
      </c>
    </row>
    <row r="1556" spans="1:3" x14ac:dyDescent="0.2">
      <c r="A1556" t="str">
        <f t="shared" si="24"/>
        <v>return_code_4315</v>
      </c>
      <c r="B1556" t="s">
        <v>5964</v>
      </c>
      <c r="C1556" t="s">
        <v>3549</v>
      </c>
    </row>
    <row r="1557" spans="1:3" x14ac:dyDescent="0.2">
      <c r="A1557" t="str">
        <f t="shared" si="24"/>
        <v>return_code_4316</v>
      </c>
      <c r="B1557" t="s">
        <v>5965</v>
      </c>
      <c r="C1557" t="s">
        <v>5966</v>
      </c>
    </row>
    <row r="1558" spans="1:3" x14ac:dyDescent="0.2">
      <c r="A1558" t="str">
        <f t="shared" si="24"/>
        <v>return_code_4317</v>
      </c>
      <c r="B1558" t="s">
        <v>5967</v>
      </c>
      <c r="C1558" t="s">
        <v>5968</v>
      </c>
    </row>
    <row r="1559" spans="1:3" x14ac:dyDescent="0.2">
      <c r="A1559" t="str">
        <f t="shared" si="24"/>
        <v>return_code_4318</v>
      </c>
      <c r="B1559" t="s">
        <v>5969</v>
      </c>
      <c r="C1559" t="s">
        <v>5970</v>
      </c>
    </row>
    <row r="1560" spans="1:3" x14ac:dyDescent="0.2">
      <c r="A1560" t="str">
        <f t="shared" si="24"/>
        <v>return_code_4320</v>
      </c>
      <c r="B1560" t="s">
        <v>5971</v>
      </c>
      <c r="C1560" t="s">
        <v>4922</v>
      </c>
    </row>
    <row r="1561" spans="1:3" x14ac:dyDescent="0.2">
      <c r="A1561" t="str">
        <f t="shared" si="24"/>
        <v>return_code_4321</v>
      </c>
      <c r="B1561" t="s">
        <v>2794</v>
      </c>
      <c r="C1561" t="s">
        <v>5972</v>
      </c>
    </row>
    <row r="1562" spans="1:3" x14ac:dyDescent="0.2">
      <c r="A1562" t="str">
        <f t="shared" si="24"/>
        <v>return_code_4322</v>
      </c>
      <c r="B1562" t="s">
        <v>2796</v>
      </c>
      <c r="C1562" t="s">
        <v>5973</v>
      </c>
    </row>
    <row r="1563" spans="1:3" x14ac:dyDescent="0.2">
      <c r="A1563" t="str">
        <f t="shared" si="24"/>
        <v>return_code_4323</v>
      </c>
      <c r="B1563" t="s">
        <v>5974</v>
      </c>
      <c r="C1563" t="s">
        <v>5975</v>
      </c>
    </row>
    <row r="1564" spans="1:3" x14ac:dyDescent="0.2">
      <c r="A1564" t="str">
        <f t="shared" si="24"/>
        <v>return_code_4324</v>
      </c>
      <c r="B1564" t="s">
        <v>5976</v>
      </c>
      <c r="C1564" t="s">
        <v>5977</v>
      </c>
    </row>
    <row r="1565" spans="1:3" x14ac:dyDescent="0.2">
      <c r="A1565" t="str">
        <f t="shared" si="24"/>
        <v>return_code_4326</v>
      </c>
      <c r="B1565" t="s">
        <v>5978</v>
      </c>
      <c r="C1565" t="s">
        <v>5979</v>
      </c>
    </row>
    <row r="1566" spans="1:3" x14ac:dyDescent="0.2">
      <c r="A1566" t="str">
        <f t="shared" si="24"/>
        <v>return_code_4327</v>
      </c>
      <c r="B1566" t="s">
        <v>5980</v>
      </c>
      <c r="C1566" t="s">
        <v>5981</v>
      </c>
    </row>
    <row r="1567" spans="1:3" x14ac:dyDescent="0.2">
      <c r="A1567" t="str">
        <f t="shared" si="24"/>
        <v>return_code_4328</v>
      </c>
      <c r="B1567" t="s">
        <v>5982</v>
      </c>
      <c r="C1567" t="s">
        <v>5983</v>
      </c>
    </row>
    <row r="1568" spans="1:3" x14ac:dyDescent="0.2">
      <c r="A1568" t="str">
        <f t="shared" si="24"/>
        <v>return_code_4329</v>
      </c>
      <c r="B1568" t="s">
        <v>2798</v>
      </c>
      <c r="C1568" t="s">
        <v>5984</v>
      </c>
    </row>
    <row r="1569" spans="1:3" x14ac:dyDescent="0.2">
      <c r="A1569" t="str">
        <f t="shared" si="24"/>
        <v>return_code_4330</v>
      </c>
      <c r="B1569" t="s">
        <v>2800</v>
      </c>
      <c r="C1569" t="s">
        <v>5985</v>
      </c>
    </row>
    <row r="1570" spans="1:3" x14ac:dyDescent="0.2">
      <c r="A1570" t="str">
        <f t="shared" si="24"/>
        <v>return_code_4331</v>
      </c>
      <c r="B1570" t="s">
        <v>5986</v>
      </c>
      <c r="C1570" t="s">
        <v>5987</v>
      </c>
    </row>
    <row r="1571" spans="1:3" x14ac:dyDescent="0.2">
      <c r="A1571" t="str">
        <f t="shared" si="24"/>
        <v>return_code_4332</v>
      </c>
      <c r="B1571" t="s">
        <v>5988</v>
      </c>
      <c r="C1571" t="s">
        <v>5989</v>
      </c>
    </row>
    <row r="1572" spans="1:3" x14ac:dyDescent="0.2">
      <c r="A1572" t="str">
        <f t="shared" si="24"/>
        <v>return_code_4333</v>
      </c>
      <c r="B1572" t="s">
        <v>5990</v>
      </c>
      <c r="C1572" t="s">
        <v>5406</v>
      </c>
    </row>
    <row r="1573" spans="1:3" x14ac:dyDescent="0.2">
      <c r="A1573" t="str">
        <f t="shared" si="24"/>
        <v>return_code_4334</v>
      </c>
      <c r="B1573" t="s">
        <v>5991</v>
      </c>
      <c r="C1573" t="s">
        <v>5410</v>
      </c>
    </row>
    <row r="1574" spans="1:3" x14ac:dyDescent="0.2">
      <c r="A1574" t="str">
        <f t="shared" si="24"/>
        <v>return_code_4335</v>
      </c>
      <c r="B1574" t="s">
        <v>5992</v>
      </c>
      <c r="C1574" t="s">
        <v>5408</v>
      </c>
    </row>
    <row r="1575" spans="1:3" x14ac:dyDescent="0.2">
      <c r="A1575" t="str">
        <f t="shared" si="24"/>
        <v>return_code_4337</v>
      </c>
      <c r="B1575" t="s">
        <v>5993</v>
      </c>
      <c r="C1575" t="s">
        <v>5994</v>
      </c>
    </row>
    <row r="1576" spans="1:3" x14ac:dyDescent="0.2">
      <c r="A1576" t="str">
        <f t="shared" si="24"/>
        <v>return_code_4338</v>
      </c>
      <c r="B1576" t="s">
        <v>5995</v>
      </c>
      <c r="C1576" t="s">
        <v>3364</v>
      </c>
    </row>
  </sheetData>
  <conditionalFormatting sqref="B1:B1048576">
    <cfRule type="duplicateValues" dxfId="0" priority="1"/>
  </conditionalFormatting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496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38</vt:i4>
      </vt:variant>
    </vt:vector>
  </HeadingPairs>
  <TitlesOfParts>
    <vt:vector size="38" baseType="lpstr">
      <vt:lpstr>Catalogo01</vt:lpstr>
      <vt:lpstr>Catalogo02</vt:lpstr>
      <vt:lpstr>Catalogo03</vt:lpstr>
      <vt:lpstr>Catalogo04</vt:lpstr>
      <vt:lpstr>Catalogo05</vt:lpstr>
      <vt:lpstr>Catalogo06</vt:lpstr>
      <vt:lpstr>Catalogo07</vt:lpstr>
      <vt:lpstr>Catalogo08</vt:lpstr>
      <vt:lpstr>Catalogo09</vt:lpstr>
      <vt:lpstr>Catalogo10</vt:lpstr>
      <vt:lpstr>Catalogo11</vt:lpstr>
      <vt:lpstr>Catalogo12</vt:lpstr>
      <vt:lpstr>Catalogo14</vt:lpstr>
      <vt:lpstr>Catalogo15</vt:lpstr>
      <vt:lpstr>Catalogo16</vt:lpstr>
      <vt:lpstr>Catalogo17</vt:lpstr>
      <vt:lpstr>Catalogo18</vt:lpstr>
      <vt:lpstr>Catalogo19</vt:lpstr>
      <vt:lpstr>Catalogo20</vt:lpstr>
      <vt:lpstr>Catalogo21</vt:lpstr>
      <vt:lpstr>Catalogo22</vt:lpstr>
      <vt:lpstr>Catalogo23</vt:lpstr>
      <vt:lpstr>Catalogo24</vt:lpstr>
      <vt:lpstr>Catalogo26</vt:lpstr>
      <vt:lpstr>Catalogo27</vt:lpstr>
      <vt:lpstr>Catalogo51</vt:lpstr>
      <vt:lpstr>Catalogo52</vt:lpstr>
      <vt:lpstr>Catalogo53</vt:lpstr>
      <vt:lpstr>Catalogo54</vt:lpstr>
      <vt:lpstr>Catalogo55</vt:lpstr>
      <vt:lpstr>Catalogo56</vt:lpstr>
      <vt:lpstr>Catalogo57</vt:lpstr>
      <vt:lpstr>Catalogo58</vt:lpstr>
      <vt:lpstr>Catalogo59</vt:lpstr>
      <vt:lpstr>Catalogo60</vt:lpstr>
      <vt:lpstr>Catalogo61</vt:lpstr>
      <vt:lpstr>ciiu</vt:lpstr>
      <vt:lpstr>CodRetorno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Alexander Cuellar Morales</dc:creator>
  <dc:description/>
  <cp:lastModifiedBy>Alexander Cuellar Morales</cp:lastModifiedBy>
  <cp:revision>56</cp:revision>
  <dcterms:created xsi:type="dcterms:W3CDTF">2019-12-15T19:05:02Z</dcterms:created>
  <dcterms:modified xsi:type="dcterms:W3CDTF">2024-08-10T17:49:54Z</dcterms:modified>
  <dc:language>es-PE</dc:language>
</cp:coreProperties>
</file>